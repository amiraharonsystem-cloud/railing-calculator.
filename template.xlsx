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ystemlabs-my.sharepoint.com/personal/amir_system-labs_co_il/Documents/שולחן העבודה/תעודות אמיר/2026/14.1/רמת השרון/"/>
    </mc:Choice>
  </mc:AlternateContent>
  <xr:revisionPtr revIDLastSave="230" documentId="13_ncr:1_{8439069D-48B6-47AA-9732-F853FD77BB51}" xr6:coauthVersionLast="47" xr6:coauthVersionMax="47" xr10:uidLastSave="{4309CF86-A03F-4BC9-B193-A983EF6E7E05}"/>
  <bookViews>
    <workbookView xWindow="-108" yWindow="-108" windowWidth="23256" windowHeight="12456" xr2:uid="{00000000-000D-0000-FFFF-FFFF00000000}"/>
  </bookViews>
  <sheets>
    <sheet name="הדפסה" sheetId="1" r:id="rId1"/>
    <sheet name="גיליון1" sheetId="2" state="hidden" r:id="rId2"/>
  </sheets>
  <definedNames>
    <definedName name="_xlnm.Print_Area" localSheetId="0">הדפסה!$A$1:$L$140</definedName>
    <definedName name="לאניתן">הדפסה!$N$23:$N$28</definedName>
    <definedName name="מסקנה">הדפסה!$M$31:$M$38</definedName>
    <definedName name="מתאים">הדפסה!$A$23:$A$27</definedName>
    <definedName name="נתגלו">הדפסה!$M$134:$M$136</definedName>
    <definedName name="סוג_בדיקה">הדפסה!$A$7:$A$9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38" i="1"/>
  <c r="E37" i="1" l="1"/>
  <c r="C33" i="1" s="1"/>
  <c r="L91" i="1"/>
  <c r="L90" i="1"/>
  <c r="C91" i="1"/>
  <c r="C51" i="1"/>
  <c r="J50" i="1"/>
  <c r="L51" i="1"/>
  <c r="L50" i="1"/>
  <c r="G48" i="1"/>
  <c r="G88" i="1"/>
</calcChain>
</file>

<file path=xl/sharedStrings.xml><?xml version="1.0" encoding="utf-8"?>
<sst xmlns="http://schemas.openxmlformats.org/spreadsheetml/2006/main" count="321" uniqueCount="217">
  <si>
    <t>מס'</t>
  </si>
  <si>
    <t>עמוד מס'</t>
  </si>
  <si>
    <t xml:space="preserve">    מתוך    3 עמודים</t>
  </si>
  <si>
    <t>שם האתר:</t>
  </si>
  <si>
    <t>קוד פרוייקט:</t>
  </si>
  <si>
    <t>1.   פרטי הלקוח וזיהוי ההזמנה:</t>
  </si>
  <si>
    <t>שם המזמין:</t>
  </si>
  <si>
    <t>מען המזמין:</t>
  </si>
  <si>
    <t>כתובת האתר:</t>
  </si>
  <si>
    <t>מיקום הבדיקה:</t>
  </si>
  <si>
    <t>סוג הבדיקה:</t>
  </si>
  <si>
    <t>3.   תוצאות הבדיקה:</t>
  </si>
  <si>
    <t>נתוני הבדיקה ותוצאות:</t>
  </si>
  <si>
    <t>סעיף מס' 1: בדיקת גאומטריה - תאור המעקה הנבדק והתאמתו לדרישת התכנון עפ"י ת"י 1142</t>
  </si>
  <si>
    <t>סיכום:</t>
  </si>
  <si>
    <t>התאמה לדרישות סעיף מס' 1:</t>
  </si>
  <si>
    <t>התאמה לדרישות סעיף מס' 2:</t>
  </si>
  <si>
    <t>התאמה לדרישות סעיף מס' 3:</t>
  </si>
  <si>
    <t>מסקנה:</t>
  </si>
  <si>
    <t>המעקה הנבדק</t>
  </si>
  <si>
    <t>שם הבודק:</t>
  </si>
  <si>
    <t>שם המאשר ותפקידו:</t>
  </si>
  <si>
    <t>חתימה:</t>
  </si>
  <si>
    <t>סעיף מס' 1 : בדיקות גאומטריה, תאור המעקה הנבדק לפי ת"י 1142, 1099-1.1</t>
  </si>
  <si>
    <t>סעיף התקן</t>
  </si>
  <si>
    <t>ממצאי הבדיקה</t>
  </si>
  <si>
    <t>תוצאות המדידה</t>
  </si>
  <si>
    <t>התאמה לתקן</t>
  </si>
  <si>
    <t>הערות</t>
  </si>
  <si>
    <t>ת"י 1142</t>
  </si>
  <si>
    <t>החתך והצורה של בית-האחיזה או של אזן המשמש בית אחיזה יהיו נוחים לאחיזה בטוחה של יד, ולא יהיו בהם פינות חדות, שקעים ובליטות העלולים לגרום לקושי או לפציעה בעת האחיזה</t>
  </si>
  <si>
    <t>עובי במ"מ</t>
  </si>
  <si>
    <t>שם היצרן</t>
  </si>
  <si>
    <t>סוג השמשה</t>
  </si>
  <si>
    <t>6.1.1.5</t>
  </si>
  <si>
    <t>2.1.1</t>
  </si>
  <si>
    <t>4.3.4 ו- 3.2.5.3</t>
  </si>
  <si>
    <t>ת"י 1.1-1099</t>
  </si>
  <si>
    <t>מס' סעיף</t>
  </si>
  <si>
    <t>נתונים לחישובים</t>
  </si>
  <si>
    <t>דרישת התקן</t>
  </si>
  <si>
    <t>-</t>
  </si>
  <si>
    <t>תאור הבדיקה</t>
  </si>
  <si>
    <t>תזוזה אופקית</t>
  </si>
  <si>
    <t>מקס'</t>
  </si>
  <si>
    <t>(מ"מ)</t>
  </si>
  <si>
    <t>תזוזה</t>
  </si>
  <si>
    <t>משתיירת</t>
  </si>
  <si>
    <t xml:space="preserve">דרישת </t>
  </si>
  <si>
    <t>התקן</t>
  </si>
  <si>
    <t>תוצאות הבדיקה</t>
  </si>
  <si>
    <t xml:space="preserve">תזוזה </t>
  </si>
  <si>
    <t>אופקית</t>
  </si>
  <si>
    <t>התאמה</t>
  </si>
  <si>
    <t xml:space="preserve">לדרישות </t>
  </si>
  <si>
    <t>העמסה של ניצב</t>
  </si>
  <si>
    <t>עומד</t>
  </si>
  <si>
    <t>לא עומד</t>
  </si>
  <si>
    <t>הבדיקה הינה בדיקה:</t>
  </si>
  <si>
    <t>מתאים</t>
  </si>
  <si>
    <t>לא מתאים</t>
  </si>
  <si>
    <t>תיאור המבנה:</t>
  </si>
  <si>
    <t>הערות:</t>
  </si>
  <si>
    <t>חישוב כוחות העמסה</t>
  </si>
  <si>
    <t>שמשה ממוסגרת: החפיה בין הזכוכית למסגרת תהיה 12 מ''מ לפחות.</t>
  </si>
  <si>
    <t>ת''י 1099 חלק 2 סעיף 2.3</t>
  </si>
  <si>
    <t>ת''י 1099 חלק 2 סעיף 2.2.2</t>
  </si>
  <si>
    <t>שמשה ממוסגרת: המסגרת תכלול חומר אטם (עשוי גומי או חומר אלסטומרי דומה).</t>
  </si>
  <si>
    <t xml:space="preserve">    מתוך 3 עמודים</t>
  </si>
  <si>
    <t>אורך זיגוג, מ':</t>
  </si>
  <si>
    <t>גובה זיגוג, מ':</t>
  </si>
  <si>
    <t>לא רלוונטי</t>
  </si>
  <si>
    <t>לא נבדק</t>
  </si>
  <si>
    <t>XXXXXXX</t>
  </si>
  <si>
    <t>דו''ח זה מבטל ומחליף דו''ח מס'</t>
  </si>
  <si>
    <t>לא ניתן לתת מסקנה</t>
  </si>
  <si>
    <t>גג, בפתחים בקירות, על גגות, לרבות על גגות של בניינים גבוהים ושל בניינים רבי קומות, לאורך שפת כבש ובמקומות בתוך הבניין, יהיה 105 ס"מ לפחות.</t>
  </si>
  <si>
    <t>מרווחים בין רכיבי המעקה לבין עצמם ובינם לבין הבניין לא יהיו כאלה, שכדור קשיח שקוטרו  גדול מ - 10 ס"מ ליוכל לעבור דרך המעקה</t>
  </si>
  <si>
    <t>בתחום שבין 10 ס"מ עד 90 ס"מ מפני המפלס שממנו נמדד גובה המעקה לא יהיו רכיבים,בליטות או חללים שמידתם האופקית גדולה מ-4.5 ס"מ, או חריצים בגובה גדול מ- 1.2 ס"מ נחשבים מאפשרים טיפוס.</t>
  </si>
  <si>
    <t>דרישות התקן</t>
  </si>
  <si>
    <t>לא יתגלו סדקים, או עיוותי צורה, או כל סימן אחר לכשל האלמנט או החיבורים</t>
  </si>
  <si>
    <t>שלב העמסה</t>
  </si>
  <si>
    <t>בעומס מקסימלי</t>
  </si>
  <si>
    <t>לאחר הסרת העומס</t>
  </si>
  <si>
    <t>התאמה לדרישות</t>
  </si>
  <si>
    <t>סעיף מס' 2: העמסה אופקית בעומסים מרוכזים</t>
  </si>
  <si>
    <t xml:space="preserve">סכום התזוזות משתי ההעמסות  </t>
  </si>
  <si>
    <t>לפני העמסה</t>
  </si>
  <si>
    <t>לוחות מליא עשויים זכוכית: זיהוי השמשה</t>
  </si>
  <si>
    <t>עובי מתוכנן, מ''מ:</t>
  </si>
  <si>
    <t xml:space="preserve">חישובים לפי דרישות  ת"י  414 </t>
  </si>
  <si>
    <t xml:space="preserve">האלמנטים יתוכננו כך שיעמדו, בהתאם למיקומם, לפחות בעומס הגדול מבין העומסים אלה: עומס הרוח המקסימלי המתאים לפי התקן ת"י 414 , או העומסים הקוויים המפורסים המצוינים בטבלה 1 בתוספת מחצית עומס הרוח המתאים לפי התקן הישראלי ת"י 414 כשהעומס האופקי והעומס האנכי מופעלים בנפרד בגובה האזן העליון, או בגובה השפה העליונה של לוחות מליא ללא אזן עליון. </t>
  </si>
  <si>
    <t>מ'</t>
  </si>
  <si>
    <t>CsCd = 1.0</t>
  </si>
  <si>
    <r>
      <t>Aref = h</t>
    </r>
    <r>
      <rPr>
        <sz val="11"/>
        <color indexed="8"/>
        <rFont val="Arial"/>
        <family val="2"/>
      </rPr>
      <t>×</t>
    </r>
    <r>
      <rPr>
        <sz val="11"/>
        <color indexed="8"/>
        <rFont val="Arial"/>
        <family val="2"/>
        <charset val="177"/>
      </rPr>
      <t>1.0</t>
    </r>
    <r>
      <rPr>
        <sz val="11"/>
        <color theme="1"/>
        <rFont val="Arial"/>
        <family val="2"/>
        <charset val="177"/>
        <scheme val="minor"/>
      </rPr>
      <t xml:space="preserve"> </t>
    </r>
  </si>
  <si>
    <t>גובה הפעלת לחץ הרוח - h</t>
  </si>
  <si>
    <t>Ce(Ze) =</t>
  </si>
  <si>
    <t>Fw =</t>
  </si>
  <si>
    <t>10.3.4 ג'</t>
  </si>
  <si>
    <t>10.3.4 ד'</t>
  </si>
  <si>
    <t>10.3.4 ד' + 10.3.4 ב'</t>
  </si>
  <si>
    <t>10.3.4 ה'</t>
  </si>
  <si>
    <r>
      <t xml:space="preserve"> = ½ F</t>
    </r>
    <r>
      <rPr>
        <sz val="10"/>
        <color indexed="8"/>
        <rFont val="Arial"/>
        <family val="2"/>
      </rPr>
      <t>ser</t>
    </r>
    <r>
      <rPr>
        <sz val="11"/>
        <color theme="1"/>
        <rFont val="Arial"/>
        <family val="2"/>
        <charset val="177"/>
        <scheme val="minor"/>
      </rPr>
      <t>(½L</t>
    </r>
    <r>
      <rPr>
        <sz val="8"/>
        <color indexed="8"/>
        <rFont val="Arial"/>
        <family val="2"/>
      </rPr>
      <t>2</t>
    </r>
    <r>
      <rPr>
        <sz val="11"/>
        <color theme="1"/>
        <rFont val="Arial"/>
        <family val="2"/>
        <charset val="177"/>
        <scheme val="minor"/>
      </rPr>
      <t xml:space="preserve"> +½L</t>
    </r>
    <r>
      <rPr>
        <sz val="8"/>
        <color indexed="8"/>
        <rFont val="Arial"/>
        <family val="2"/>
      </rPr>
      <t>1</t>
    </r>
    <r>
      <rPr>
        <sz val="11"/>
        <color theme="1"/>
        <rFont val="Arial"/>
        <family val="2"/>
        <charset val="177"/>
        <scheme val="minor"/>
      </rPr>
      <t xml:space="preserve">) </t>
    </r>
  </si>
  <si>
    <r>
      <t xml:space="preserve"> =  F</t>
    </r>
    <r>
      <rPr>
        <sz val="9"/>
        <color indexed="8"/>
        <rFont val="Arial"/>
        <family val="2"/>
      </rPr>
      <t>ser</t>
    </r>
    <r>
      <rPr>
        <sz val="11"/>
        <color theme="1"/>
        <rFont val="Arial"/>
        <family val="2"/>
        <charset val="177"/>
        <scheme val="minor"/>
      </rPr>
      <t>(1/2L</t>
    </r>
    <r>
      <rPr>
        <sz val="9"/>
        <color indexed="8"/>
        <rFont val="Arial"/>
        <family val="2"/>
      </rPr>
      <t>2</t>
    </r>
    <r>
      <rPr>
        <sz val="11"/>
        <color theme="1"/>
        <rFont val="Arial"/>
        <family val="2"/>
        <charset val="177"/>
        <scheme val="minor"/>
      </rPr>
      <t xml:space="preserve"> + 1/8L</t>
    </r>
    <r>
      <rPr>
        <sz val="9"/>
        <color indexed="8"/>
        <rFont val="Arial"/>
        <family val="2"/>
      </rPr>
      <t>1</t>
    </r>
    <r>
      <rPr>
        <sz val="11"/>
        <color theme="1"/>
        <rFont val="Arial"/>
        <family val="2"/>
        <charset val="177"/>
        <scheme val="minor"/>
      </rPr>
      <t xml:space="preserve">) </t>
    </r>
  </si>
  <si>
    <t xml:space="preserve">העומס המרוכז המלא  </t>
  </si>
  <si>
    <t>מחצית העומס המרוכז</t>
  </si>
  <si>
    <t>לא יותר מ- 12</t>
  </si>
  <si>
    <t>לא יותר מ -25</t>
  </si>
  <si>
    <t>לא יותר מ - 12</t>
  </si>
  <si>
    <t>לא יותר מ - 25</t>
  </si>
  <si>
    <r>
      <t xml:space="preserve"> =  Fser(½L</t>
    </r>
    <r>
      <rPr>
        <sz val="9"/>
        <color indexed="8"/>
        <rFont val="Arial"/>
        <family val="2"/>
      </rPr>
      <t>2</t>
    </r>
    <r>
      <rPr>
        <sz val="11"/>
        <color theme="1"/>
        <rFont val="Arial"/>
        <family val="2"/>
        <charset val="177"/>
        <scheme val="minor"/>
      </rPr>
      <t xml:space="preserve"> +½L</t>
    </r>
    <r>
      <rPr>
        <sz val="9"/>
        <color indexed="8"/>
        <rFont val="Arial"/>
        <family val="2"/>
      </rPr>
      <t>1</t>
    </r>
    <r>
      <rPr>
        <sz val="11"/>
        <color theme="1"/>
        <rFont val="Arial"/>
        <family val="2"/>
        <charset val="177"/>
        <scheme val="minor"/>
      </rPr>
      <t xml:space="preserve">) </t>
    </r>
  </si>
  <si>
    <t>10.3.1</t>
  </si>
  <si>
    <t>חישובים לפי דרישות ת"י 1142 סעיפים 10.3.4 או 10.3.5 ודרישות לתזוזות שבסעיף 10.3.6 טבלה 2</t>
  </si>
  <si>
    <t>כינוי מתוכנן:</t>
  </si>
  <si>
    <t>ת"י 1099 חלק 1.1 סעיף 3.2.5.3</t>
  </si>
  <si>
    <t xml:space="preserve"> אופן התקנה של זכוכית לשמשה במעקה:</t>
  </si>
  <si>
    <t>לוחות מליא עשויים זכוכית לפי דרישות תקן ת"י 1099 על חלקיו.</t>
  </si>
  <si>
    <t>סימון היצרן</t>
  </si>
  <si>
    <t xml:space="preserve">h = </t>
  </si>
  <si>
    <t>תוצאות</t>
  </si>
  <si>
    <t>נ'/מ"א</t>
  </si>
  <si>
    <t>טבלה 1</t>
  </si>
  <si>
    <r>
      <rPr>
        <b/>
        <sz val="12"/>
        <color indexed="8"/>
        <rFont val="Arial"/>
        <family val="2"/>
      </rPr>
      <t>עומס רוח על אזן עליון</t>
    </r>
    <r>
      <rPr>
        <sz val="12"/>
        <color indexed="8"/>
        <rFont val="Arial"/>
        <family val="2"/>
        <charset val="177"/>
      </rPr>
      <t xml:space="preserve"> (נ' למטר אורך)</t>
    </r>
  </si>
  <si>
    <r>
      <rPr>
        <b/>
        <sz val="12"/>
        <color indexed="8"/>
        <rFont val="Arial"/>
        <family val="2"/>
      </rPr>
      <t>הכוח הכולל של הרוח לפי נוסחה (4.1) -</t>
    </r>
    <r>
      <rPr>
        <sz val="12"/>
        <color indexed="8"/>
        <rFont val="Arial"/>
        <family val="2"/>
        <charset val="177"/>
      </rPr>
      <t xml:space="preserve"> </t>
    </r>
    <r>
      <rPr>
        <b/>
        <sz val="12"/>
        <color indexed="8"/>
        <rFont val="Arial"/>
        <family val="2"/>
      </rPr>
      <t>עומס רוח על האלמנט</t>
    </r>
  </si>
  <si>
    <r>
      <rPr>
        <sz val="12"/>
        <rFont val="Arial"/>
        <family val="2"/>
      </rPr>
      <t>q</t>
    </r>
    <r>
      <rPr>
        <sz val="8"/>
        <rFont val="Arial"/>
        <family val="2"/>
      </rPr>
      <t xml:space="preserve">b </t>
    </r>
    <r>
      <rPr>
        <sz val="11"/>
        <rFont val="Arial"/>
        <family val="2"/>
      </rPr>
      <t>=</t>
    </r>
  </si>
  <si>
    <t>נ'/מ"ר</t>
  </si>
  <si>
    <t>תאריך בדיקה:</t>
  </si>
  <si>
    <t>סעיף 9.1.1</t>
  </si>
  <si>
    <t xml:space="preserve">עומס אופייני למצב גבולי של שירות (עומס הגדול מבין העומסים אלה: עומס הרוח המקסימלי על אזן העליון , או העומסים הקוויים המפורסים המצוינים בטבלה 1 בתוספת מחצית עומס הרוח על אזן העליון. 
 אם המעקה מורכב מאזנים ומניצבים בלבד, ללא לוחות מליא, אפשר שלא להתחשב בעומס הרוח
</t>
  </si>
  <si>
    <r>
      <t>F</t>
    </r>
    <r>
      <rPr>
        <sz val="10"/>
        <color indexed="8"/>
        <rFont val="Arial"/>
        <family val="2"/>
      </rPr>
      <t>w</t>
    </r>
    <r>
      <rPr>
        <sz val="12"/>
        <color indexed="8"/>
        <rFont val="Arial"/>
        <family val="2"/>
        <charset val="177"/>
      </rPr>
      <t>/2 =</t>
    </r>
  </si>
  <si>
    <t>************************************************************* סוף מסמך ******************************************************</t>
  </si>
  <si>
    <t xml:space="preserve"> בבנייני תעשייה, מלאכה או אחסון, ובמקומות המשמשים לגישת אנשי ביקורת ותחזוקה בלבד (כגון טכנאי מעליות, חשמלאי):</t>
  </si>
  <si>
    <r>
      <rPr>
        <b/>
        <sz val="11"/>
        <color indexed="8"/>
        <rFont val="Arial"/>
        <family val="2"/>
      </rPr>
      <t>א.</t>
    </r>
    <r>
      <rPr>
        <sz val="11"/>
        <color theme="1"/>
        <rFont val="Arial"/>
        <family val="2"/>
        <charset val="177"/>
        <scheme val="minor"/>
      </rPr>
      <t xml:space="preserve"> המרווחים בין אזני המעקה לבין עצמם ובין האזן התחתון לבין הרצפה יהיו כאלה, שכדור שקוטרו גדול מ-50 ס"מ לא יוכל לעבור דרך שום מרווח.
</t>
    </r>
  </si>
  <si>
    <r>
      <t xml:space="preserve">
 </t>
    </r>
    <r>
      <rPr>
        <b/>
        <sz val="11"/>
        <color indexed="8"/>
        <rFont val="Arial"/>
        <family val="2"/>
      </rPr>
      <t>ב.</t>
    </r>
    <r>
      <rPr>
        <sz val="11"/>
        <color theme="1"/>
        <rFont val="Arial"/>
        <family val="2"/>
        <charset val="177"/>
        <scheme val="minor"/>
      </rPr>
      <t xml:space="preserve"> כאשר הפרש הגובה בין פני הרצפה שעליה מותקן המעקה לבין פני המשטח(ים) הסמוך(ים) לה גדול מ-2.00 מ', יוסף בחלקו התחתון של המעקה לוח רגל או סף שגובהו 15 ס"מ, 
הצמוד לכל אורכו לרצפה, ללא מרווח ביניהם.
</t>
    </r>
  </si>
  <si>
    <t>ת"י 938 חלק 3</t>
  </si>
  <si>
    <t xml:space="preserve">       6.1.2       ת"י 1142</t>
  </si>
  <si>
    <t xml:space="preserve">      6.1.4.1     ת"י 1142</t>
  </si>
  <si>
    <t xml:space="preserve">       7.2.4        ת"י 1142</t>
  </si>
  <si>
    <t xml:space="preserve">       6.1.4.2       ת"י 1142</t>
  </si>
  <si>
    <r>
      <t xml:space="preserve">חישוב עומס הרוח על האלמנט הנבדק </t>
    </r>
    <r>
      <rPr>
        <b/>
        <u/>
        <sz val="12"/>
        <color indexed="8"/>
        <rFont val="Arial"/>
        <family val="2"/>
      </rPr>
      <t>Fw  -</t>
    </r>
  </si>
  <si>
    <t xml:space="preserve">        6.2.1         ת"י 1142</t>
  </si>
  <si>
    <r>
      <t>(מ')  L</t>
    </r>
    <r>
      <rPr>
        <sz val="9"/>
        <color indexed="8"/>
        <rFont val="Arial"/>
        <family val="2"/>
      </rPr>
      <t>1</t>
    </r>
    <r>
      <rPr>
        <sz val="11"/>
        <color indexed="8"/>
        <rFont val="Arial"/>
        <family val="2"/>
      </rPr>
      <t xml:space="preserve"> = </t>
    </r>
  </si>
  <si>
    <t xml:space="preserve"> מפתח שדה האזן או השפה העליונה, שהועמס בבדיקות: המרחק בין שני ניצבים סמוכים או שני החיבורים של המסעד לקיר             </t>
  </si>
  <si>
    <t xml:space="preserve">מפתח השדה הסמוך לניצב, שלא הועמס בבדיקות המתוארות בסעיפים א ו -ב 10.3.4                                                          </t>
  </si>
  <si>
    <r>
      <t>(מ')  L</t>
    </r>
    <r>
      <rPr>
        <sz val="9"/>
        <color indexed="8"/>
        <rFont val="Arial"/>
        <family val="2"/>
      </rPr>
      <t>2</t>
    </r>
    <r>
      <rPr>
        <sz val="11"/>
        <color indexed="8"/>
        <rFont val="Arial"/>
        <family val="2"/>
      </rPr>
      <t xml:space="preserve"> = </t>
    </r>
  </si>
  <si>
    <r>
      <t>(מ')  L</t>
    </r>
    <r>
      <rPr>
        <sz val="11"/>
        <color indexed="8"/>
        <rFont val="Arial"/>
        <family val="2"/>
      </rPr>
      <t xml:space="preserve"> = </t>
    </r>
  </si>
  <si>
    <r>
      <rPr>
        <sz val="10"/>
        <color indexed="8"/>
        <rFont val="Arial"/>
        <family val="2"/>
      </rPr>
      <t xml:space="preserve">מפתח השדה  המועמס : המרחק בין שתי השפות האנכיות של לוח מליא המתואר בסעיף 10.3.5 </t>
    </r>
    <r>
      <rPr>
        <sz val="11"/>
        <color theme="1"/>
        <rFont val="Arial"/>
        <family val="2"/>
        <charset val="177"/>
        <scheme val="minor"/>
      </rPr>
      <t xml:space="preserve">                         </t>
    </r>
  </si>
  <si>
    <t>גובה המעקה במרפסות, לרבות במרפסות של דירות:</t>
  </si>
  <si>
    <t>מנהל מערך מערכות בניין - אינג' אלברט גורודניצקי</t>
  </si>
  <si>
    <t xml:space="preserve">תיאור הפריט שנבדק: </t>
  </si>
  <si>
    <t xml:space="preserve">לפני הבדיקה:                                                    
</t>
  </si>
  <si>
    <t>תכנון של המעקה הנבדק</t>
  </si>
  <si>
    <t xml:space="preserve"> חישוב הנדסי של שלד המעקה</t>
  </si>
  <si>
    <t>חישוב הנדסי של לוח המליא</t>
  </si>
  <si>
    <t>בדיקה חזותית ובדיקה גיאומטרית</t>
  </si>
  <si>
    <t>סעיף מס' 3: העמסה אופקית בעומסים מרוכזים באלמנטים העשויים לוחות מליא</t>
  </si>
  <si>
    <t xml:space="preserve">סעיף מס' 4: בדיקה חזותית </t>
  </si>
  <si>
    <t>התאמה לדרישות סעיף מס' 4:</t>
  </si>
  <si>
    <t>העמסה אופקית בעומסים מרוכזים באלמנטים העשויים לוחות מליא</t>
  </si>
  <si>
    <t>חישובים לפי דרישות ת"י 1142 סעיף  10.3.5 ג' ודרישות לתזוזות שבסעיף 10.3.5 ג' טבלה 2</t>
  </si>
  <si>
    <t>10.3.5 ג'</t>
  </si>
  <si>
    <t xml:space="preserve">בדיקת העמסה של לוח מליא </t>
  </si>
  <si>
    <t>חישוב עומס הרוח על לוח מליא  למ"ר</t>
  </si>
  <si>
    <t>(נ')</t>
  </si>
  <si>
    <t>חישוב עומס הרוח  על לוח מליא הנבדק</t>
  </si>
  <si>
    <r>
      <rPr>
        <sz val="18"/>
        <color indexed="8"/>
        <rFont val="Arial"/>
        <family val="2"/>
      </rPr>
      <t xml:space="preserve">  </t>
    </r>
    <r>
      <rPr>
        <sz val="16"/>
        <color indexed="8"/>
        <rFont val="Arial"/>
        <family val="2"/>
      </rPr>
      <t>w</t>
    </r>
    <r>
      <rPr>
        <sz val="12"/>
        <color indexed="8"/>
        <rFont val="Arial"/>
        <family val="2"/>
      </rPr>
      <t xml:space="preserve">s= </t>
    </r>
    <r>
      <rPr>
        <sz val="16"/>
        <color indexed="8"/>
        <rFont val="Arial"/>
        <family val="2"/>
      </rPr>
      <t>w</t>
    </r>
    <r>
      <rPr>
        <sz val="12"/>
        <color indexed="8"/>
        <rFont val="Arial"/>
        <family val="2"/>
      </rPr>
      <t>e</t>
    </r>
    <r>
      <rPr>
        <sz val="12"/>
        <color indexed="8"/>
        <rFont val="Arial"/>
        <family val="2"/>
      </rPr>
      <t>×</t>
    </r>
    <r>
      <rPr>
        <sz val="10.8"/>
        <color indexed="8"/>
        <rFont val="Arial"/>
        <family val="2"/>
      </rPr>
      <t>S</t>
    </r>
  </si>
  <si>
    <t>(נ'/מ"ר)</t>
  </si>
  <si>
    <t>S - שטח הלוח (מ"ר)</t>
  </si>
  <si>
    <t>מחצית מעומס הרוח על הלוח</t>
  </si>
  <si>
    <r>
      <t>0.5</t>
    </r>
    <r>
      <rPr>
        <sz val="14"/>
        <color indexed="8"/>
        <rFont val="Arial"/>
        <family val="2"/>
      </rPr>
      <t>w</t>
    </r>
    <r>
      <rPr>
        <sz val="11"/>
        <color indexed="8"/>
        <rFont val="Arial"/>
        <family val="2"/>
      </rPr>
      <t>s</t>
    </r>
  </si>
  <si>
    <t>עומס מרוכז</t>
  </si>
  <si>
    <t>ניוטון</t>
  </si>
  <si>
    <t xml:space="preserve">תזוזה משתיירת, מקס' (מ"מ)
</t>
  </si>
  <si>
    <t>תוצאות הבדיקה: (מ"מ)</t>
  </si>
  <si>
    <t>התאמה לדרישת התקן</t>
  </si>
  <si>
    <t xml:space="preserve">מקס' 2.0 </t>
  </si>
  <si>
    <t>קוד פרויקט:</t>
  </si>
  <si>
    <t>יש לבצע פעולה מתקנת במעקה שנכשל ולאחריה חוזרים על אותן הבדיקות במעקה שנכשל ובמעקה אחד נוסף במעטפת הבניין</t>
  </si>
  <si>
    <t>נציג המזמין בבדיקה:</t>
  </si>
  <si>
    <r>
      <rPr>
        <b/>
        <sz val="9"/>
        <rFont val="Arial"/>
        <family val="2"/>
      </rPr>
      <t>הצהרות:</t>
    </r>
    <r>
      <rPr>
        <sz val="9"/>
        <rFont val="Arial"/>
        <family val="2"/>
      </rPr>
      <t xml:space="preserve">
•	תוצאות הבדיקה מתייחסות רק לפריט שנבדק.
•	יש להתייחס למסמך במלוא ואין להעתיק ממנו למסמכים אחרים
•	הבדיקות בוצעו בהתאמה לת"י   ISO 17025/ לת"י ISO 17020.
•	הבדיקות בוצעו בהתאם לדרישות ההסמכה של הרשות הלאומית להסמכת מעבדות.
•	הרשות הלאומית להסמכת מעבדות אינה אחראית לתוצאות הבדיקה שערכה המעבדה ואין ההסמכה/ההכרה מהווה אישור לפריט, מערכת או תהליך שנבדק. אין לראות בהסמכת הרשות כאישור נהלי המעבדה ועובדיה
•	התוצאות נכונות לתאריך הבדיקה ומתיחסות רק למערכת שנבדקה ואין ליחסן לאתרים אחרים</t>
    </r>
  </si>
  <si>
    <t>מיקום הלחצנים (אבזרי ריתום זכוכית בתוך התעלה)  
 וכמּותם בהתאם לתכן ההנדסי שהוגש.</t>
  </si>
  <si>
    <t xml:space="preserve"> בדיקה חזותית ת"י 1142 סעיף 10.2.1  </t>
  </si>
  <si>
    <t>10.3.4 א</t>
  </si>
  <si>
    <t>10.3.4 ב</t>
  </si>
  <si>
    <t>2Pn=2×0.375Fser × L1</t>
  </si>
  <si>
    <t>Cf = 1.76</t>
  </si>
  <si>
    <t>we = qb×Ce(Ze)×CsCd×Cf</t>
  </si>
  <si>
    <t>We  =</t>
  </si>
  <si>
    <t>נ' /מ"ר</t>
  </si>
  <si>
    <t>נ' /מ"א'</t>
  </si>
  <si>
    <t>בדרישות סעיפי ת"י 1142 שנבדקו.</t>
  </si>
  <si>
    <t>סעיף מס' 3:</t>
  </si>
  <si>
    <r>
      <t xml:space="preserve">סעיף מס' 4 </t>
    </r>
    <r>
      <rPr>
        <b/>
        <sz val="14"/>
        <color indexed="8"/>
        <rFont val="Calibri"/>
        <family val="2"/>
      </rPr>
      <t>: בדיקה חזותית</t>
    </r>
  </si>
  <si>
    <t>ראשונה</t>
  </si>
  <si>
    <r>
      <t xml:space="preserve">מהות הבדיקה:  </t>
    </r>
    <r>
      <rPr>
        <b/>
        <sz val="12"/>
        <color indexed="8"/>
        <rFont val="Arial"/>
        <family val="2"/>
      </rPr>
      <t>התאמה לדרישות התקן הישראלי ת"י  1142 בסעיפים הרלוונטיים.</t>
    </r>
  </si>
  <si>
    <t>תעודת בדיקת מעקה במעטפת הבניין</t>
  </si>
  <si>
    <t>תאריך הדפסה:</t>
  </si>
  <si>
    <t>אמיר אהרון</t>
  </si>
  <si>
    <t>לא הוגש</t>
  </si>
  <si>
    <t>אין</t>
  </si>
  <si>
    <t>פחות מ-10 ס"מ</t>
  </si>
  <si>
    <t xml:space="preserve"> -</t>
  </si>
  <si>
    <t>לא נתגלו</t>
  </si>
  <si>
    <t xml:space="preserve">                    -</t>
  </si>
  <si>
    <t>לא נדרש</t>
  </si>
  <si>
    <t xml:space="preserve">                                     -</t>
  </si>
  <si>
    <t xml:space="preserve">עומס אופקי לפי טבלה 1 </t>
  </si>
  <si>
    <t xml:space="preserve">  - </t>
  </si>
  <si>
    <t>מעקה במרפסת שמש עשוי אלומניום, כולל ניצבים</t>
  </si>
  <si>
    <t xml:space="preserve"> - </t>
  </si>
  <si>
    <t>מ.א.ג.ד. בניין והשקעות בע"מ</t>
  </si>
  <si>
    <t>רמת השרון -  רח' גולומב 23+19</t>
  </si>
  <si>
    <t>אלעד</t>
  </si>
  <si>
    <t>בנין מגורים, בנין 23</t>
  </si>
  <si>
    <t xml:space="preserve">קומה ראשונה, דירה 3 </t>
  </si>
  <si>
    <t>109 ס"מ</t>
  </si>
  <si>
    <t>לא הייתה אפשרות לבצע בדיקת העמסה אופקית עקב חוסר תמיכה נגדית מול המעקה הנבדק.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</si>
</sst>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55" x14ac:knownFonts="1">
    <font>
      <sz val="11"/>
      <color theme="1"/>
      <name val="Arial"/>
      <family val="2"/>
      <charset val="177"/>
      <scheme val="minor"/>
    </font>
    <font>
      <b/>
      <sz val="12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  <charset val="177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  <charset val="177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1"/>
      <color indexed="8"/>
      <name val="Arial"/>
      <family val="2"/>
    </font>
    <font>
      <b/>
      <u/>
      <sz val="12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sz val="18"/>
      <color indexed="8"/>
      <name val="Arial"/>
      <family val="2"/>
    </font>
    <font>
      <sz val="16"/>
      <color indexed="8"/>
      <name val="Arial"/>
      <family val="2"/>
    </font>
    <font>
      <sz val="10.8"/>
      <color indexed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4"/>
      <color indexed="8"/>
      <name val="Calibri"/>
      <family val="2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  <font>
      <b/>
      <sz val="16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u/>
      <sz val="12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9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u/>
      <sz val="16"/>
      <color theme="1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u/>
      <sz val="12"/>
      <color theme="1"/>
      <name val="Arial"/>
      <family val="2"/>
      <charset val="177"/>
      <scheme val="minor"/>
    </font>
    <font>
      <b/>
      <u/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1.5"/>
      <color theme="1"/>
      <name val="Arial"/>
      <family val="2"/>
      <charset val="177"/>
      <scheme val="minor"/>
    </font>
    <font>
      <sz val="12"/>
      <name val="Arial"/>
      <family val="2"/>
      <scheme val="minor"/>
    </font>
    <font>
      <b/>
      <sz val="9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8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9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66">
    <xf numFmtId="0" fontId="0" fillId="0" borderId="0" xfId="0"/>
    <xf numFmtId="0" fontId="0" fillId="0" borderId="0" xfId="0" applyAlignment="1">
      <alignment readingOrder="2"/>
    </xf>
    <xf numFmtId="0" fontId="23" fillId="0" borderId="0" xfId="0" applyFont="1" applyAlignment="1">
      <alignment vertical="center" readingOrder="2"/>
    </xf>
    <xf numFmtId="0" fontId="24" fillId="0" borderId="0" xfId="0" applyFont="1" applyAlignment="1">
      <alignment horizontal="left" vertical="center" readingOrder="2"/>
    </xf>
    <xf numFmtId="0" fontId="23" fillId="0" borderId="1" xfId="0" applyFont="1" applyBorder="1" applyAlignment="1">
      <alignment vertical="center" readingOrder="2"/>
    </xf>
    <xf numFmtId="0" fontId="23" fillId="0" borderId="2" xfId="0" applyFont="1" applyBorder="1" applyAlignment="1">
      <alignment vertical="center" readingOrder="2"/>
    </xf>
    <xf numFmtId="0" fontId="23" fillId="0" borderId="2" xfId="0" applyFont="1" applyBorder="1" applyAlignment="1">
      <alignment horizontal="center" vertical="center" readingOrder="2"/>
    </xf>
    <xf numFmtId="0" fontId="23" fillId="0" borderId="0" xfId="0" applyFont="1" applyAlignment="1">
      <alignment readingOrder="2"/>
    </xf>
    <xf numFmtId="0" fontId="23" fillId="2" borderId="0" xfId="0" applyFont="1" applyFill="1" applyAlignment="1">
      <alignment vertical="center" readingOrder="2"/>
    </xf>
    <xf numFmtId="0" fontId="25" fillId="0" borderId="0" xfId="0" applyFont="1" applyAlignment="1">
      <alignment vertical="center" readingOrder="2"/>
    </xf>
    <xf numFmtId="0" fontId="26" fillId="0" borderId="0" xfId="0" applyFont="1" applyAlignment="1">
      <alignment vertical="center" readingOrder="2"/>
    </xf>
    <xf numFmtId="0" fontId="0" fillId="0" borderId="0" xfId="0" applyAlignment="1">
      <alignment wrapText="1" readingOrder="2"/>
    </xf>
    <xf numFmtId="14" fontId="26" fillId="0" borderId="3" xfId="0" applyNumberFormat="1" applyFont="1" applyBorder="1" applyAlignment="1">
      <alignment vertical="center" readingOrder="2"/>
    </xf>
    <xf numFmtId="0" fontId="26" fillId="0" borderId="4" xfId="0" applyFont="1" applyBorder="1" applyAlignment="1">
      <alignment vertical="top" wrapText="1" readingOrder="2"/>
    </xf>
    <xf numFmtId="0" fontId="27" fillId="0" borderId="5" xfId="0" applyFont="1" applyBorder="1" applyAlignment="1">
      <alignment horizontal="center" vertical="center" readingOrder="2"/>
    </xf>
    <xf numFmtId="0" fontId="0" fillId="2" borderId="0" xfId="0" applyFill="1" applyAlignment="1">
      <alignment readingOrder="2"/>
    </xf>
    <xf numFmtId="0" fontId="0" fillId="0" borderId="1" xfId="0" applyBorder="1" applyAlignment="1">
      <alignment readingOrder="2"/>
    </xf>
    <xf numFmtId="0" fontId="0" fillId="0" borderId="3" xfId="0" applyBorder="1" applyAlignment="1">
      <alignment readingOrder="2"/>
    </xf>
    <xf numFmtId="0" fontId="23" fillId="0" borderId="5" xfId="0" applyFont="1" applyBorder="1" applyAlignment="1">
      <alignment horizontal="center" vertical="center" readingOrder="2"/>
    </xf>
    <xf numFmtId="0" fontId="26" fillId="0" borderId="5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readingOrder="2"/>
      <protection locked="0"/>
    </xf>
    <xf numFmtId="0" fontId="28" fillId="0" borderId="0" xfId="0" applyFont="1" applyAlignment="1">
      <alignment readingOrder="2"/>
    </xf>
    <xf numFmtId="0" fontId="0" fillId="0" borderId="5" xfId="0" applyBorder="1" applyAlignment="1">
      <alignment readingOrder="2"/>
    </xf>
    <xf numFmtId="2" fontId="26" fillId="3" borderId="5" xfId="0" applyNumberFormat="1" applyFont="1" applyFill="1" applyBorder="1" applyAlignment="1" applyProtection="1">
      <alignment horizontal="center" vertical="center" readingOrder="2"/>
      <protection locked="0"/>
    </xf>
    <xf numFmtId="0" fontId="29" fillId="3" borderId="1" xfId="0" applyFont="1" applyFill="1" applyBorder="1" applyAlignment="1" applyProtection="1">
      <alignment horizontal="center" vertical="center"/>
      <protection locked="0"/>
    </xf>
    <xf numFmtId="0" fontId="27" fillId="0" borderId="6" xfId="0" applyFont="1" applyBorder="1" applyAlignment="1">
      <alignment horizontal="center" vertical="center" readingOrder="2"/>
    </xf>
    <xf numFmtId="0" fontId="27" fillId="0" borderId="7" xfId="0" applyFont="1" applyBorder="1" applyAlignment="1">
      <alignment horizontal="center" vertical="center" readingOrder="2"/>
    </xf>
    <xf numFmtId="0" fontId="28" fillId="0" borderId="8" xfId="0" applyFont="1" applyBorder="1" applyAlignment="1">
      <alignment horizontal="right" vertical="center" readingOrder="2"/>
    </xf>
    <xf numFmtId="0" fontId="0" fillId="2" borderId="5" xfId="0" applyFill="1" applyBorder="1" applyAlignment="1">
      <alignment horizontal="center"/>
    </xf>
    <xf numFmtId="2" fontId="0" fillId="4" borderId="5" xfId="0" applyNumberFormat="1" applyFill="1" applyBorder="1" applyAlignment="1">
      <alignment horizontal="center" readingOrder="2"/>
    </xf>
    <xf numFmtId="2" fontId="0" fillId="5" borderId="5" xfId="0" applyNumberFormat="1" applyFill="1" applyBorder="1" applyAlignment="1">
      <alignment horizontal="center" vertical="center" readingOrder="2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30" fillId="6" borderId="5" xfId="0" applyFont="1" applyFill="1" applyBorder="1" applyAlignment="1">
      <alignment horizontal="center" vertical="center" readingOrder="2"/>
    </xf>
    <xf numFmtId="0" fontId="30" fillId="0" borderId="5" xfId="0" applyFont="1" applyBorder="1" applyAlignment="1">
      <alignment horizontal="right" vertical="center" readingOrder="1"/>
    </xf>
    <xf numFmtId="2" fontId="0" fillId="6" borderId="5" xfId="0" applyNumberFormat="1" applyFill="1" applyBorder="1" applyAlignment="1">
      <alignment horizontal="center" vertical="center" readingOrder="1"/>
    </xf>
    <xf numFmtId="0" fontId="31" fillId="0" borderId="9" xfId="0" applyFont="1" applyBorder="1" applyAlignment="1">
      <alignment vertical="center" readingOrder="2"/>
    </xf>
    <xf numFmtId="0" fontId="31" fillId="0" borderId="10" xfId="0" applyFont="1" applyBorder="1" applyAlignment="1">
      <alignment vertical="center" readingOrder="2"/>
    </xf>
    <xf numFmtId="0" fontId="31" fillId="0" borderId="7" xfId="0" applyFont="1" applyBorder="1" applyAlignment="1">
      <alignment vertical="center" readingOrder="2"/>
    </xf>
    <xf numFmtId="0" fontId="32" fillId="0" borderId="5" xfId="0" applyFont="1" applyBorder="1" applyAlignment="1">
      <alignment horizontal="right" vertical="center" readingOrder="1"/>
    </xf>
    <xf numFmtId="0" fontId="33" fillId="0" borderId="5" xfId="0" applyFont="1" applyBorder="1" applyAlignment="1">
      <alignment horizontal="center" vertical="center" readingOrder="2"/>
    </xf>
    <xf numFmtId="0" fontId="34" fillId="0" borderId="11" xfId="0" applyFont="1" applyBorder="1" applyAlignment="1">
      <alignment horizontal="center" vertical="center" readingOrder="2"/>
    </xf>
    <xf numFmtId="0" fontId="0" fillId="0" borderId="5" xfId="0" applyBorder="1" applyAlignment="1">
      <alignment horizontal="center" vertical="center" readingOrder="1"/>
    </xf>
    <xf numFmtId="0" fontId="23" fillId="0" borderId="12" xfId="0" applyFont="1" applyBorder="1" applyAlignment="1">
      <alignment horizontal="center" vertical="center" readingOrder="2"/>
    </xf>
    <xf numFmtId="0" fontId="23" fillId="0" borderId="13" xfId="0" applyFont="1" applyBorder="1" applyAlignment="1">
      <alignment vertical="center" readingOrder="2"/>
    </xf>
    <xf numFmtId="0" fontId="28" fillId="2" borderId="10" xfId="0" applyFont="1" applyFill="1" applyBorder="1" applyAlignment="1">
      <alignment horizontal="right" vertical="top" wrapText="1" readingOrder="2"/>
    </xf>
    <xf numFmtId="0" fontId="28" fillId="2" borderId="7" xfId="0" applyFont="1" applyFill="1" applyBorder="1" applyAlignment="1">
      <alignment horizontal="right" vertical="top" wrapText="1" readingOrder="2"/>
    </xf>
    <xf numFmtId="0" fontId="26" fillId="3" borderId="7" xfId="0" applyFont="1" applyFill="1" applyBorder="1" applyAlignment="1" applyProtection="1">
      <alignment horizontal="center" vertical="center" wrapText="1" readingOrder="2"/>
      <protection locked="0"/>
    </xf>
    <xf numFmtId="0" fontId="23" fillId="0" borderId="5" xfId="0" applyFont="1" applyBorder="1" applyAlignment="1">
      <alignment horizontal="center" vertical="center"/>
    </xf>
    <xf numFmtId="0" fontId="28" fillId="7" borderId="5" xfId="0" applyFont="1" applyFill="1" applyBorder="1" applyAlignment="1" applyProtection="1">
      <alignment horizontal="center" vertical="center" readingOrder="2"/>
      <protection locked="0"/>
    </xf>
    <xf numFmtId="0" fontId="23" fillId="0" borderId="14" xfId="0" applyFont="1" applyBorder="1" applyAlignment="1">
      <alignment horizontal="center" vertical="center" readingOrder="2"/>
    </xf>
    <xf numFmtId="0" fontId="23" fillId="0" borderId="11" xfId="0" applyFont="1" applyBorder="1" applyAlignment="1">
      <alignment horizontal="center" vertical="center" readingOrder="2"/>
    </xf>
    <xf numFmtId="0" fontId="26" fillId="2" borderId="14" xfId="0" applyFont="1" applyFill="1" applyBorder="1" applyAlignment="1">
      <alignment horizontal="center" vertical="center" readingOrder="2"/>
    </xf>
    <xf numFmtId="0" fontId="0" fillId="2" borderId="14" xfId="0" applyFill="1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23" fillId="2" borderId="0" xfId="0" applyFont="1" applyFill="1" applyAlignment="1">
      <alignment horizontal="center" vertical="center" wrapText="1" readingOrder="2"/>
    </xf>
    <xf numFmtId="0" fontId="0" fillId="2" borderId="11" xfId="0" applyFill="1" applyBorder="1" applyAlignment="1">
      <alignment horizontal="right" vertical="center"/>
    </xf>
    <xf numFmtId="0" fontId="26" fillId="2" borderId="0" xfId="0" applyFont="1" applyFill="1" applyAlignment="1">
      <alignment horizontal="center" vertical="center" readingOrder="2"/>
    </xf>
    <xf numFmtId="2" fontId="0" fillId="2" borderId="0" xfId="0" applyNumberFormat="1" applyFill="1" applyAlignment="1">
      <alignment horizontal="center" vertical="center" readingOrder="2"/>
    </xf>
    <xf numFmtId="0" fontId="23" fillId="2" borderId="0" xfId="0" applyFont="1" applyFill="1" applyAlignment="1">
      <alignment horizontal="right" vertical="center"/>
    </xf>
    <xf numFmtId="0" fontId="26" fillId="0" borderId="15" xfId="0" applyFont="1" applyBorder="1" applyAlignment="1">
      <alignment horizontal="right" vertical="top" wrapText="1" readingOrder="2"/>
    </xf>
    <xf numFmtId="2" fontId="35" fillId="6" borderId="5" xfId="0" applyNumberFormat="1" applyFont="1" applyFill="1" applyBorder="1" applyAlignment="1">
      <alignment horizontal="center" readingOrder="2"/>
    </xf>
    <xf numFmtId="165" fontId="35" fillId="2" borderId="5" xfId="0" applyNumberFormat="1" applyFont="1" applyFill="1" applyBorder="1" applyAlignment="1">
      <alignment horizontal="right" readingOrder="1"/>
    </xf>
    <xf numFmtId="0" fontId="0" fillId="0" borderId="0" xfId="0" applyAlignment="1">
      <alignment horizontal="right" readingOrder="2"/>
    </xf>
    <xf numFmtId="0" fontId="0" fillId="6" borderId="5" xfId="0" applyFill="1" applyBorder="1" applyAlignment="1">
      <alignment horizontal="center" vertical="center" readingOrder="1"/>
    </xf>
    <xf numFmtId="0" fontId="28" fillId="2" borderId="0" xfId="0" applyFont="1" applyFill="1" applyAlignment="1" applyProtection="1">
      <alignment horizontal="center" vertical="center" readingOrder="2"/>
      <protection locked="0"/>
    </xf>
    <xf numFmtId="0" fontId="0" fillId="2" borderId="0" xfId="0" applyFill="1" applyAlignment="1">
      <alignment horizontal="center" vertical="center" readingOrder="2"/>
    </xf>
    <xf numFmtId="0" fontId="26" fillId="2" borderId="0" xfId="0" applyFont="1" applyFill="1" applyAlignment="1" applyProtection="1">
      <alignment horizontal="center" vertical="center" wrapText="1" readingOrder="2"/>
      <protection locked="0"/>
    </xf>
    <xf numFmtId="2" fontId="26" fillId="3" borderId="8" xfId="0" applyNumberFormat="1" applyFont="1" applyFill="1" applyBorder="1" applyAlignment="1" applyProtection="1">
      <alignment horizontal="center" vertical="center" readingOrder="2"/>
      <protection locked="0"/>
    </xf>
    <xf numFmtId="0" fontId="0" fillId="6" borderId="5" xfId="0" applyFill="1" applyBorder="1" applyAlignment="1">
      <alignment horizontal="center" vertical="center" readingOrder="2"/>
    </xf>
    <xf numFmtId="0" fontId="0" fillId="0" borderId="5" xfId="0" applyBorder="1" applyAlignment="1">
      <alignment horizontal="center" vertical="center" readingOrder="2"/>
    </xf>
    <xf numFmtId="0" fontId="0" fillId="8" borderId="5" xfId="0" applyFill="1" applyBorder="1" applyAlignment="1">
      <alignment horizontal="center" vertical="center" readingOrder="2"/>
    </xf>
    <xf numFmtId="0" fontId="23" fillId="0" borderId="2" xfId="0" applyFont="1" applyBorder="1" applyAlignment="1">
      <alignment horizontal="right" vertical="center" readingOrder="2"/>
    </xf>
    <xf numFmtId="0" fontId="26" fillId="3" borderId="4" xfId="0" applyFont="1" applyFill="1" applyBorder="1" applyAlignment="1" applyProtection="1">
      <alignment horizontal="center" vertical="center" readingOrder="2"/>
      <protection locked="0"/>
    </xf>
    <xf numFmtId="0" fontId="36" fillId="0" borderId="0" xfId="0" applyFont="1" applyAlignment="1">
      <alignment vertical="center" readingOrder="2"/>
    </xf>
    <xf numFmtId="0" fontId="26" fillId="2" borderId="0" xfId="0" applyFont="1" applyFill="1" applyAlignment="1">
      <alignment vertical="center" readingOrder="2"/>
    </xf>
    <xf numFmtId="0" fontId="37" fillId="2" borderId="0" xfId="0" applyFont="1" applyFill="1" applyAlignment="1" applyProtection="1">
      <alignment horizontal="center" vertical="top" wrapText="1" readingOrder="2"/>
      <protection locked="0"/>
    </xf>
    <xf numFmtId="0" fontId="38" fillId="2" borderId="0" xfId="0" applyFont="1" applyFill="1" applyAlignment="1" applyProtection="1">
      <alignment vertical="top" readingOrder="2"/>
      <protection locked="0"/>
    </xf>
    <xf numFmtId="0" fontId="26" fillId="0" borderId="7" xfId="0" applyFont="1" applyBorder="1" applyAlignment="1" applyProtection="1">
      <alignment horizontal="center" vertical="center" wrapText="1" readingOrder="2"/>
      <protection locked="0"/>
    </xf>
    <xf numFmtId="0" fontId="39" fillId="0" borderId="5" xfId="0" applyFont="1" applyBorder="1" applyAlignment="1">
      <alignment horizontal="left" vertical="center" readingOrder="1"/>
    </xf>
    <xf numFmtId="0" fontId="39" fillId="0" borderId="5" xfId="0" applyFont="1" applyBorder="1" applyAlignment="1">
      <alignment horizontal="right" vertical="center" readingOrder="1"/>
    </xf>
    <xf numFmtId="0" fontId="26" fillId="3" borderId="2" xfId="0" applyFont="1" applyFill="1" applyBorder="1" applyAlignment="1">
      <alignment horizontal="center" vertical="center" wrapText="1" readingOrder="2"/>
    </xf>
    <xf numFmtId="0" fontId="26" fillId="3" borderId="0" xfId="0" applyFont="1" applyFill="1" applyAlignment="1">
      <alignment horizontal="center" vertical="center" readingOrder="2"/>
    </xf>
    <xf numFmtId="0" fontId="40" fillId="3" borderId="0" xfId="0" applyFont="1" applyFill="1" applyAlignment="1" applyProtection="1">
      <alignment horizontal="center" vertical="center" readingOrder="2"/>
      <protection locked="0"/>
    </xf>
    <xf numFmtId="14" fontId="26" fillId="0" borderId="3" xfId="0" applyNumberFormat="1" applyFont="1" applyBorder="1" applyAlignment="1">
      <alignment horizontal="right" vertical="center" readingOrder="2"/>
    </xf>
    <xf numFmtId="0" fontId="39" fillId="0" borderId="9" xfId="0" applyFont="1" applyBorder="1" applyAlignment="1">
      <alignment horizontal="center" vertical="center" readingOrder="2"/>
    </xf>
    <xf numFmtId="0" fontId="39" fillId="0" borderId="10" xfId="0" applyFont="1" applyBorder="1" applyAlignment="1">
      <alignment horizontal="center" vertical="center"/>
    </xf>
    <xf numFmtId="0" fontId="41" fillId="2" borderId="15" xfId="0" applyFont="1" applyFill="1" applyBorder="1" applyAlignment="1" applyProtection="1">
      <alignment horizontal="center" vertical="center" readingOrder="2"/>
      <protection locked="0"/>
    </xf>
    <xf numFmtId="0" fontId="23" fillId="0" borderId="9" xfId="0" applyFont="1" applyBorder="1" applyAlignment="1">
      <alignment vertical="center" readingOrder="2"/>
    </xf>
    <xf numFmtId="0" fontId="23" fillId="0" borderId="10" xfId="0" applyFont="1" applyBorder="1" applyAlignment="1">
      <alignment vertical="center" readingOrder="2"/>
    </xf>
    <xf numFmtId="0" fontId="23" fillId="0" borderId="7" xfId="0" applyFont="1" applyBorder="1" applyAlignment="1">
      <alignment vertical="center" readingOrder="2"/>
    </xf>
    <xf numFmtId="0" fontId="26" fillId="0" borderId="17" xfId="0" applyFont="1" applyBorder="1" applyAlignment="1">
      <alignment vertical="center" readingOrder="2"/>
    </xf>
    <xf numFmtId="0" fontId="23" fillId="0" borderId="15" xfId="0" applyFont="1" applyBorder="1" applyAlignment="1">
      <alignment vertical="center" readingOrder="2"/>
    </xf>
    <xf numFmtId="0" fontId="23" fillId="0" borderId="0" xfId="0" applyFont="1" applyAlignment="1">
      <alignment horizontal="right" vertical="center" readingOrder="2"/>
    </xf>
    <xf numFmtId="0" fontId="22" fillId="2" borderId="0" xfId="0" applyFont="1" applyFill="1" applyAlignment="1" applyProtection="1">
      <alignment horizontal="right" vertical="top" wrapText="1" readingOrder="2"/>
      <protection locked="0"/>
    </xf>
    <xf numFmtId="0" fontId="23" fillId="2" borderId="15" xfId="0" applyFont="1" applyFill="1" applyBorder="1" applyAlignment="1">
      <alignment vertical="center" readingOrder="2"/>
    </xf>
    <xf numFmtId="0" fontId="23" fillId="2" borderId="2" xfId="0" applyFont="1" applyFill="1" applyBorder="1" applyAlignment="1">
      <alignment vertical="center" readingOrder="2"/>
    </xf>
    <xf numFmtId="0" fontId="23" fillId="2" borderId="3" xfId="0" applyFont="1" applyFill="1" applyBorder="1" applyAlignment="1">
      <alignment vertical="center" readingOrder="2"/>
    </xf>
    <xf numFmtId="0" fontId="23" fillId="2" borderId="4" xfId="0" applyFont="1" applyFill="1" applyBorder="1" applyAlignment="1">
      <alignment vertical="center" readingOrder="2"/>
    </xf>
    <xf numFmtId="0" fontId="23" fillId="2" borderId="2" xfId="0" applyFont="1" applyFill="1" applyBorder="1" applyAlignment="1">
      <alignment horizontal="right" vertical="top" wrapText="1" readingOrder="2"/>
    </xf>
    <xf numFmtId="0" fontId="38" fillId="6" borderId="5" xfId="0" applyFont="1" applyFill="1" applyBorder="1" applyAlignment="1">
      <alignment horizontal="center" vertical="center" readingOrder="2"/>
    </xf>
    <xf numFmtId="0" fontId="26" fillId="2" borderId="10" xfId="0" applyFont="1" applyFill="1" applyBorder="1" applyAlignment="1" applyProtection="1">
      <alignment horizontal="right" vertical="center" readingOrder="2"/>
      <protection locked="0"/>
    </xf>
    <xf numFmtId="14" fontId="26" fillId="2" borderId="7" xfId="0" applyNumberFormat="1" applyFont="1" applyFill="1" applyBorder="1" applyAlignment="1" applyProtection="1">
      <alignment horizontal="center" vertical="center" readingOrder="2"/>
      <protection locked="0"/>
    </xf>
    <xf numFmtId="14" fontId="26" fillId="3" borderId="3" xfId="0" applyNumberFormat="1" applyFont="1" applyFill="1" applyBorder="1" applyAlignment="1">
      <alignment horizontal="center" vertical="center" readingOrder="2"/>
    </xf>
    <xf numFmtId="0" fontId="26" fillId="2" borderId="5" xfId="0" applyFont="1" applyFill="1" applyBorder="1" applyAlignment="1" applyProtection="1">
      <alignment horizontal="center" vertical="center" readingOrder="2"/>
      <protection locked="0"/>
    </xf>
    <xf numFmtId="0" fontId="34" fillId="2" borderId="11" xfId="0" applyFont="1" applyFill="1" applyBorder="1" applyAlignment="1">
      <alignment horizontal="center" vertical="center" readingOrder="2"/>
    </xf>
    <xf numFmtId="0" fontId="34" fillId="2" borderId="16" xfId="0" applyFont="1" applyFill="1" applyBorder="1" applyAlignment="1" applyProtection="1">
      <alignment horizontal="center" vertical="center" readingOrder="2"/>
      <protection locked="0"/>
    </xf>
    <xf numFmtId="0" fontId="28" fillId="2" borderId="5" xfId="0" applyFont="1" applyFill="1" applyBorder="1" applyAlignment="1">
      <alignment horizontal="center" vertical="center" readingOrder="1"/>
    </xf>
    <xf numFmtId="0" fontId="26" fillId="2" borderId="5" xfId="0" applyFont="1" applyFill="1" applyBorder="1" applyAlignment="1" applyProtection="1">
      <alignment horizontal="right" vertical="center" wrapText="1" readingOrder="2"/>
      <protection locked="0"/>
    </xf>
    <xf numFmtId="0" fontId="23" fillId="2" borderId="0" xfId="0" applyFont="1" applyFill="1" applyAlignment="1">
      <alignment horizontal="center" vertical="center" readingOrder="2"/>
    </xf>
    <xf numFmtId="0" fontId="23" fillId="2" borderId="15" xfId="0" applyFont="1" applyFill="1" applyBorder="1" applyAlignment="1">
      <alignment horizontal="center" vertical="center" readingOrder="2"/>
    </xf>
    <xf numFmtId="0" fontId="26" fillId="3" borderId="9" xfId="0" applyFont="1" applyFill="1" applyBorder="1" applyAlignment="1" applyProtection="1">
      <alignment horizontal="center" vertical="center" wrapText="1" readingOrder="2"/>
      <protection locked="0"/>
    </xf>
    <xf numFmtId="0" fontId="26" fillId="3" borderId="7" xfId="0" applyFont="1" applyFill="1" applyBorder="1" applyAlignment="1" applyProtection="1">
      <alignment horizontal="center" vertical="center" wrapText="1" readingOrder="2"/>
      <protection locked="0"/>
    </xf>
    <xf numFmtId="2" fontId="26" fillId="3" borderId="11" xfId="0" applyNumberFormat="1" applyFont="1" applyFill="1" applyBorder="1" applyAlignment="1" applyProtection="1">
      <alignment horizontal="center" vertical="center" readingOrder="2"/>
      <protection locked="0"/>
    </xf>
    <xf numFmtId="2" fontId="26" fillId="3" borderId="20" xfId="0" applyNumberFormat="1" applyFont="1" applyFill="1" applyBorder="1" applyAlignment="1" applyProtection="1">
      <alignment horizontal="center" vertical="center" readingOrder="2"/>
      <protection locked="0"/>
    </xf>
    <xf numFmtId="0" fontId="26" fillId="2" borderId="11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22" fillId="2" borderId="0" xfId="0" applyFont="1" applyFill="1" applyAlignment="1" applyProtection="1">
      <alignment horizontal="right" vertical="top" wrapText="1" readingOrder="2"/>
      <protection locked="0"/>
    </xf>
    <xf numFmtId="0" fontId="54" fillId="0" borderId="10" xfId="0" applyFont="1" applyBorder="1" applyAlignment="1">
      <alignment horizontal="center" vertical="center" wrapText="1" readingOrder="1"/>
    </xf>
    <xf numFmtId="0" fontId="0" fillId="2" borderId="9" xfId="0" applyFill="1" applyBorder="1" applyAlignment="1">
      <alignment horizontal="right" vertical="center" wrapText="1"/>
    </xf>
    <xf numFmtId="0" fontId="0" fillId="2" borderId="10" xfId="0" applyFill="1" applyBorder="1" applyAlignment="1">
      <alignment horizontal="right" vertical="center" wrapText="1"/>
    </xf>
    <xf numFmtId="0" fontId="0" fillId="2" borderId="7" xfId="0" applyFill="1" applyBorder="1" applyAlignment="1">
      <alignment horizontal="right" vertical="center" wrapText="1"/>
    </xf>
    <xf numFmtId="0" fontId="38" fillId="7" borderId="9" xfId="0" applyFont="1" applyFill="1" applyBorder="1" applyAlignment="1" applyProtection="1">
      <alignment horizontal="center" vertical="center" wrapText="1" readingOrder="2"/>
      <protection locked="0"/>
    </xf>
    <xf numFmtId="0" fontId="38" fillId="7" borderId="7" xfId="0" applyFont="1" applyFill="1" applyBorder="1" applyAlignment="1" applyProtection="1">
      <alignment horizontal="center" vertical="center" wrapText="1" readingOrder="2"/>
      <protection locked="0"/>
    </xf>
    <xf numFmtId="0" fontId="26" fillId="2" borderId="9" xfId="0" applyFont="1" applyFill="1" applyBorder="1" applyAlignment="1" applyProtection="1">
      <alignment horizontal="right" vertical="center" readingOrder="2"/>
      <protection locked="0"/>
    </xf>
    <xf numFmtId="0" fontId="26" fillId="2" borderId="10" xfId="0" applyFont="1" applyFill="1" applyBorder="1" applyAlignment="1" applyProtection="1">
      <alignment horizontal="right" vertical="center" readingOrder="2"/>
      <protection locked="0"/>
    </xf>
    <xf numFmtId="0" fontId="38" fillId="2" borderId="10" xfId="0" applyFont="1" applyFill="1" applyBorder="1" applyAlignment="1" applyProtection="1">
      <alignment horizontal="center" vertical="center" readingOrder="2"/>
      <protection locked="0"/>
    </xf>
    <xf numFmtId="0" fontId="0" fillId="2" borderId="0" xfId="0" applyFill="1" applyAlignment="1">
      <alignment horizontal="center"/>
    </xf>
    <xf numFmtId="2" fontId="40" fillId="3" borderId="1" xfId="0" applyNumberFormat="1" applyFont="1" applyFill="1" applyBorder="1" applyAlignment="1">
      <alignment horizontal="center" vertical="center" readingOrder="2"/>
    </xf>
    <xf numFmtId="2" fontId="40" fillId="3" borderId="3" xfId="0" applyNumberFormat="1" applyFont="1" applyFill="1" applyBorder="1" applyAlignment="1">
      <alignment horizontal="center" vertical="center" readingOrder="2"/>
    </xf>
    <xf numFmtId="2" fontId="40" fillId="3" borderId="17" xfId="0" applyNumberFormat="1" applyFont="1" applyFill="1" applyBorder="1" applyAlignment="1">
      <alignment horizontal="center" vertical="center" readingOrder="2"/>
    </xf>
    <xf numFmtId="2" fontId="40" fillId="3" borderId="4" xfId="0" applyNumberFormat="1" applyFont="1" applyFill="1" applyBorder="1" applyAlignment="1">
      <alignment horizontal="center" vertical="center" readingOrder="2"/>
    </xf>
    <xf numFmtId="0" fontId="26" fillId="2" borderId="1" xfId="0" applyFont="1" applyFill="1" applyBorder="1" applyAlignment="1" applyProtection="1">
      <alignment horizontal="center" vertical="center" readingOrder="2"/>
      <protection locked="0"/>
    </xf>
    <xf numFmtId="0" fontId="26" fillId="2" borderId="3" xfId="0" applyFont="1" applyFill="1" applyBorder="1" applyAlignment="1" applyProtection="1">
      <alignment horizontal="center" vertical="center" readingOrder="2"/>
      <protection locked="0"/>
    </xf>
    <xf numFmtId="0" fontId="26" fillId="2" borderId="17" xfId="0" applyFont="1" applyFill="1" applyBorder="1" applyAlignment="1" applyProtection="1">
      <alignment horizontal="center" vertical="center" readingOrder="2"/>
      <protection locked="0"/>
    </xf>
    <xf numFmtId="0" fontId="26" fillId="2" borderId="4" xfId="0" applyFont="1" applyFill="1" applyBorder="1" applyAlignment="1" applyProtection="1">
      <alignment horizontal="center" vertical="center" readingOrder="2"/>
      <protection locked="0"/>
    </xf>
    <xf numFmtId="0" fontId="26" fillId="0" borderId="9" xfId="0" applyFont="1" applyBorder="1" applyAlignment="1" applyProtection="1">
      <alignment horizontal="center" vertical="center" readingOrder="2"/>
      <protection locked="0"/>
    </xf>
    <xf numFmtId="0" fontId="26" fillId="0" borderId="7" xfId="0" applyFont="1" applyBorder="1" applyAlignment="1" applyProtection="1">
      <alignment horizontal="center" vertical="center" readingOrder="2"/>
      <protection locked="0"/>
    </xf>
    <xf numFmtId="0" fontId="39" fillId="0" borderId="17" xfId="0" applyFont="1" applyBorder="1" applyAlignment="1">
      <alignment horizontal="right" vertical="center" readingOrder="2"/>
    </xf>
    <xf numFmtId="0" fontId="39" fillId="0" borderId="4" xfId="0" applyFont="1" applyBorder="1" applyAlignment="1">
      <alignment horizontal="right" vertical="center" readingOrder="2"/>
    </xf>
    <xf numFmtId="2" fontId="40" fillId="3" borderId="11" xfId="0" applyNumberFormat="1" applyFont="1" applyFill="1" applyBorder="1" applyAlignment="1" applyProtection="1">
      <alignment horizontal="center" vertical="center" readingOrder="2"/>
      <protection locked="0"/>
    </xf>
    <xf numFmtId="2" fontId="40" fillId="3" borderId="20" xfId="0" applyNumberFormat="1" applyFont="1" applyFill="1" applyBorder="1" applyAlignment="1" applyProtection="1">
      <alignment horizontal="center" vertical="center" readingOrder="2"/>
      <protection locked="0"/>
    </xf>
    <xf numFmtId="0" fontId="26" fillId="2" borderId="14" xfId="0" applyFont="1" applyFill="1" applyBorder="1" applyAlignment="1">
      <alignment horizontal="center" vertical="center" readingOrder="2"/>
    </xf>
    <xf numFmtId="0" fontId="26" fillId="2" borderId="20" xfId="0" applyFont="1" applyFill="1" applyBorder="1" applyAlignment="1">
      <alignment horizontal="center" vertical="center" readingOrder="2"/>
    </xf>
    <xf numFmtId="0" fontId="29" fillId="3" borderId="3" xfId="0" applyFont="1" applyFill="1" applyBorder="1" applyAlignment="1" applyProtection="1">
      <alignment horizontal="center" vertical="center"/>
      <protection locked="0"/>
    </xf>
    <xf numFmtId="0" fontId="29" fillId="3" borderId="4" xfId="0" applyFont="1" applyFill="1" applyBorder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 readingOrder="2"/>
    </xf>
    <xf numFmtId="0" fontId="26" fillId="2" borderId="14" xfId="0" applyFont="1" applyFill="1" applyBorder="1" applyAlignment="1" applyProtection="1">
      <alignment horizontal="center" vertical="center" readingOrder="2"/>
      <protection locked="0"/>
    </xf>
    <xf numFmtId="0" fontId="26" fillId="2" borderId="20" xfId="0" applyFont="1" applyFill="1" applyBorder="1" applyAlignment="1" applyProtection="1">
      <alignment horizontal="center" vertical="center" readingOrder="2"/>
      <protection locked="0"/>
    </xf>
    <xf numFmtId="0" fontId="50" fillId="0" borderId="15" xfId="0" applyFont="1" applyBorder="1" applyAlignment="1">
      <alignment horizontal="right" vertical="center" wrapText="1" readingOrder="2"/>
    </xf>
    <xf numFmtId="0" fontId="26" fillId="0" borderId="1" xfId="0" applyFont="1" applyBorder="1" applyAlignment="1">
      <alignment horizontal="center" vertical="center" readingOrder="2"/>
    </xf>
    <xf numFmtId="0" fontId="26" fillId="0" borderId="2" xfId="0" applyFont="1" applyBorder="1" applyAlignment="1">
      <alignment horizontal="center" vertical="center" readingOrder="2"/>
    </xf>
    <xf numFmtId="0" fontId="26" fillId="0" borderId="17" xfId="0" applyFont="1" applyBorder="1" applyAlignment="1">
      <alignment horizontal="center" vertical="center" readingOrder="2"/>
    </xf>
    <xf numFmtId="0" fontId="26" fillId="0" borderId="15" xfId="0" applyFont="1" applyBorder="1" applyAlignment="1">
      <alignment horizontal="center" vertical="center" readingOrder="2"/>
    </xf>
    <xf numFmtId="0" fontId="23" fillId="0" borderId="5" xfId="0" applyFont="1" applyBorder="1" applyAlignment="1">
      <alignment horizontal="center" vertical="center" readingOrder="2"/>
    </xf>
    <xf numFmtId="0" fontId="0" fillId="0" borderId="1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2" borderId="11" xfId="0" applyFont="1" applyFill="1" applyBorder="1" applyAlignment="1" applyProtection="1">
      <alignment horizontal="center" vertical="center" readingOrder="2"/>
      <protection locked="0"/>
    </xf>
    <xf numFmtId="0" fontId="0" fillId="2" borderId="17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" xfId="0" applyBorder="1" applyAlignment="1">
      <alignment horizontal="center" vertical="justify"/>
    </xf>
    <xf numFmtId="0" fontId="0" fillId="0" borderId="3" xfId="0" applyBorder="1" applyAlignment="1">
      <alignment horizontal="center" vertical="justify"/>
    </xf>
    <xf numFmtId="2" fontId="40" fillId="3" borderId="1" xfId="0" applyNumberFormat="1" applyFont="1" applyFill="1" applyBorder="1" applyAlignment="1" applyProtection="1">
      <alignment horizontal="center" vertical="center" readingOrder="2"/>
      <protection locked="0"/>
    </xf>
    <xf numFmtId="2" fontId="40" fillId="3" borderId="3" xfId="0" applyNumberFormat="1" applyFont="1" applyFill="1" applyBorder="1" applyAlignment="1" applyProtection="1">
      <alignment horizontal="center" vertical="center" readingOrder="2"/>
      <protection locked="0"/>
    </xf>
    <xf numFmtId="2" fontId="40" fillId="3" borderId="17" xfId="0" applyNumberFormat="1" applyFont="1" applyFill="1" applyBorder="1" applyAlignment="1" applyProtection="1">
      <alignment horizontal="center" vertical="center" readingOrder="2"/>
      <protection locked="0"/>
    </xf>
    <xf numFmtId="2" fontId="40" fillId="3" borderId="4" xfId="0" applyNumberFormat="1" applyFont="1" applyFill="1" applyBorder="1" applyAlignment="1" applyProtection="1">
      <alignment horizontal="center" vertical="center" readingOrder="2"/>
      <protection locked="0"/>
    </xf>
    <xf numFmtId="0" fontId="23" fillId="0" borderId="11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26" fillId="2" borderId="11" xfId="0" applyFont="1" applyFill="1" applyBorder="1" applyAlignment="1">
      <alignment horizontal="center" vertical="center" readingOrder="2"/>
    </xf>
    <xf numFmtId="164" fontId="23" fillId="0" borderId="11" xfId="0" applyNumberFormat="1" applyFont="1" applyBorder="1" applyAlignment="1">
      <alignment horizontal="center" vertical="center" readingOrder="2"/>
    </xf>
    <xf numFmtId="164" fontId="23" fillId="0" borderId="20" xfId="0" applyNumberFormat="1" applyFont="1" applyBorder="1" applyAlignment="1">
      <alignment horizontal="center" vertical="center" readingOrder="2"/>
    </xf>
    <xf numFmtId="0" fontId="27" fillId="7" borderId="17" xfId="0" applyFont="1" applyFill="1" applyBorder="1" applyAlignment="1">
      <alignment horizontal="center" vertical="center" readingOrder="2"/>
    </xf>
    <xf numFmtId="0" fontId="27" fillId="7" borderId="4" xfId="0" applyFont="1" applyFill="1" applyBorder="1" applyAlignment="1">
      <alignment horizontal="center" vertical="center" readingOrder="2"/>
    </xf>
    <xf numFmtId="0" fontId="26" fillId="0" borderId="11" xfId="0" applyFont="1" applyBorder="1" applyAlignment="1">
      <alignment horizontal="center" vertical="center" readingOrder="2"/>
    </xf>
    <xf numFmtId="0" fontId="26" fillId="0" borderId="20" xfId="0" applyFont="1" applyBorder="1" applyAlignment="1">
      <alignment horizontal="center" vertical="center" readingOrder="2"/>
    </xf>
    <xf numFmtId="0" fontId="23" fillId="2" borderId="11" xfId="0" applyFont="1" applyFill="1" applyBorder="1" applyAlignment="1">
      <alignment horizontal="center" vertical="center" readingOrder="2"/>
    </xf>
    <xf numFmtId="0" fontId="23" fillId="2" borderId="20" xfId="0" applyFont="1" applyFill="1" applyBorder="1" applyAlignment="1">
      <alignment horizontal="center" vertical="center" readingOrder="2"/>
    </xf>
    <xf numFmtId="164" fontId="23" fillId="2" borderId="11" xfId="0" applyNumberFormat="1" applyFont="1" applyFill="1" applyBorder="1" applyAlignment="1">
      <alignment horizontal="center" vertical="center" readingOrder="2"/>
    </xf>
    <xf numFmtId="164" fontId="23" fillId="2" borderId="20" xfId="0" applyNumberFormat="1" applyFont="1" applyFill="1" applyBorder="1" applyAlignment="1">
      <alignment horizontal="center" vertical="center" readingOrder="2"/>
    </xf>
    <xf numFmtId="0" fontId="26" fillId="2" borderId="1" xfId="0" applyFont="1" applyFill="1" applyBorder="1" applyAlignment="1">
      <alignment horizontal="center" vertical="center" wrapText="1" readingOrder="2"/>
    </xf>
    <xf numFmtId="0" fontId="0" fillId="2" borderId="2" xfId="0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 wrapText="1" readingOrder="2"/>
    </xf>
    <xf numFmtId="0" fontId="0" fillId="2" borderId="17" xfId="0" applyFill="1" applyBorder="1" applyAlignment="1">
      <alignment horizontal="center" vertical="center" wrapText="1" readingOrder="2"/>
    </xf>
    <xf numFmtId="0" fontId="0" fillId="2" borderId="15" xfId="0" applyFill="1" applyBorder="1" applyAlignment="1">
      <alignment horizontal="center" vertical="center" wrapText="1" readingOrder="2"/>
    </xf>
    <xf numFmtId="0" fontId="0" fillId="2" borderId="4" xfId="0" applyFill="1" applyBorder="1" applyAlignment="1">
      <alignment horizontal="center" vertical="center" wrapText="1" readingOrder="2"/>
    </xf>
    <xf numFmtId="0" fontId="23" fillId="2" borderId="1" xfId="0" applyFont="1" applyFill="1" applyBorder="1" applyAlignment="1">
      <alignment horizontal="center" vertical="center" readingOrder="2"/>
    </xf>
    <xf numFmtId="0" fontId="23" fillId="2" borderId="3" xfId="0" applyFont="1" applyFill="1" applyBorder="1" applyAlignment="1">
      <alignment horizontal="center" vertical="center" readingOrder="2"/>
    </xf>
    <xf numFmtId="0" fontId="23" fillId="2" borderId="17" xfId="0" applyFont="1" applyFill="1" applyBorder="1" applyAlignment="1">
      <alignment horizontal="center" vertical="center" readingOrder="2"/>
    </xf>
    <xf numFmtId="0" fontId="23" fillId="2" borderId="4" xfId="0" applyFont="1" applyFill="1" applyBorder="1" applyAlignment="1">
      <alignment horizontal="center" vertical="center" readingOrder="2"/>
    </xf>
    <xf numFmtId="0" fontId="26" fillId="3" borderId="5" xfId="0" applyFont="1" applyFill="1" applyBorder="1" applyAlignment="1" applyProtection="1">
      <alignment horizontal="center" vertical="center" wrapText="1" readingOrder="2"/>
      <protection locked="0"/>
    </xf>
    <xf numFmtId="0" fontId="0" fillId="0" borderId="5" xfId="0" applyBorder="1" applyAlignment="1">
      <alignment horizontal="right" vertical="top" wrapText="1" readingOrder="2"/>
    </xf>
    <xf numFmtId="0" fontId="28" fillId="0" borderId="22" xfId="0" applyFont="1" applyBorder="1" applyAlignment="1">
      <alignment horizontal="right" vertical="center" readingOrder="2"/>
    </xf>
    <xf numFmtId="0" fontId="28" fillId="0" borderId="23" xfId="0" applyFont="1" applyBorder="1" applyAlignment="1">
      <alignment horizontal="right" vertical="center" readingOrder="2"/>
    </xf>
    <xf numFmtId="0" fontId="27" fillId="3" borderId="11" xfId="0" applyFont="1" applyFill="1" applyBorder="1" applyAlignment="1" applyProtection="1">
      <alignment horizontal="center" vertical="center" wrapText="1" readingOrder="2"/>
      <protection locked="0"/>
    </xf>
    <xf numFmtId="0" fontId="27" fillId="3" borderId="20" xfId="0" applyFont="1" applyFill="1" applyBorder="1" applyAlignment="1" applyProtection="1">
      <alignment horizontal="center" vertical="center" wrapText="1" readingOrder="2"/>
      <protection locked="0"/>
    </xf>
    <xf numFmtId="0" fontId="40" fillId="0" borderId="1" xfId="0" applyFont="1" applyBorder="1" applyAlignment="1" applyProtection="1">
      <alignment horizontal="center" vertical="center" wrapText="1" readingOrder="2"/>
      <protection locked="0"/>
    </xf>
    <xf numFmtId="0" fontId="40" fillId="0" borderId="3" xfId="0" applyFont="1" applyBorder="1" applyAlignment="1" applyProtection="1">
      <alignment horizontal="center" vertical="center" wrapText="1" readingOrder="2"/>
      <protection locked="0"/>
    </xf>
    <xf numFmtId="0" fontId="40" fillId="0" borderId="12" xfId="0" applyFont="1" applyBorder="1" applyAlignment="1" applyProtection="1">
      <alignment horizontal="center" vertical="center" wrapText="1" readingOrder="2"/>
      <protection locked="0"/>
    </xf>
    <xf numFmtId="0" fontId="40" fillId="0" borderId="13" xfId="0" applyFont="1" applyBorder="1" applyAlignment="1" applyProtection="1">
      <alignment horizontal="center" vertical="center" wrapText="1" readingOrder="2"/>
      <protection locked="0"/>
    </xf>
    <xf numFmtId="0" fontId="40" fillId="0" borderId="17" xfId="0" applyFont="1" applyBorder="1" applyAlignment="1" applyProtection="1">
      <alignment horizontal="center" vertical="center" wrapText="1" readingOrder="2"/>
      <protection locked="0"/>
    </xf>
    <xf numFmtId="0" fontId="40" fillId="0" borderId="4" xfId="0" applyFont="1" applyBorder="1" applyAlignment="1" applyProtection="1">
      <alignment horizontal="center" vertical="center" wrapText="1" readingOrder="2"/>
      <protection locked="0"/>
    </xf>
    <xf numFmtId="0" fontId="25" fillId="0" borderId="10" xfId="0" applyFont="1" applyBorder="1" applyAlignment="1">
      <alignment horizontal="center" vertical="center" readingOrder="2"/>
    </xf>
    <xf numFmtId="0" fontId="24" fillId="0" borderId="0" xfId="0" applyFont="1" applyAlignment="1">
      <alignment horizontal="right" vertical="center" readingOrder="2"/>
    </xf>
    <xf numFmtId="0" fontId="23" fillId="0" borderId="15" xfId="0" applyFont="1" applyBorder="1" applyAlignment="1">
      <alignment horizontal="right" vertical="top" wrapText="1" readingOrder="2"/>
    </xf>
    <xf numFmtId="0" fontId="23" fillId="0" borderId="9" xfId="0" applyFont="1" applyBorder="1" applyAlignment="1">
      <alignment horizontal="center" vertical="center" readingOrder="2"/>
    </xf>
    <xf numFmtId="0" fontId="23" fillId="0" borderId="7" xfId="0" applyFont="1" applyBorder="1" applyAlignment="1">
      <alignment horizontal="center" vertical="center" readingOrder="2"/>
    </xf>
    <xf numFmtId="0" fontId="38" fillId="0" borderId="9" xfId="0" applyFont="1" applyBorder="1" applyAlignment="1">
      <alignment vertical="center" readingOrder="2"/>
    </xf>
    <xf numFmtId="0" fontId="23" fillId="0" borderId="10" xfId="0" applyFont="1" applyBorder="1" applyAlignment="1">
      <alignment vertical="center" readingOrder="2"/>
    </xf>
    <xf numFmtId="0" fontId="23" fillId="0" borderId="7" xfId="0" applyFont="1" applyBorder="1" applyAlignment="1">
      <alignment vertical="center" readingOrder="2"/>
    </xf>
    <xf numFmtId="0" fontId="39" fillId="0" borderId="0" xfId="0" applyFont="1" applyAlignment="1">
      <alignment horizontal="center" vertical="center" readingOrder="2"/>
    </xf>
    <xf numFmtId="0" fontId="0" fillId="0" borderId="5" xfId="0" applyBorder="1" applyAlignment="1">
      <alignment horizontal="left" vertical="center" readingOrder="1"/>
    </xf>
    <xf numFmtId="0" fontId="25" fillId="2" borderId="2" xfId="0" applyFont="1" applyFill="1" applyBorder="1" applyAlignment="1">
      <alignment horizontal="right" vertical="center" readingOrder="2"/>
    </xf>
    <xf numFmtId="0" fontId="52" fillId="0" borderId="11" xfId="0" applyFont="1" applyBorder="1" applyAlignment="1" applyProtection="1">
      <alignment horizontal="center" vertical="center" wrapText="1" readingOrder="2"/>
      <protection locked="0"/>
    </xf>
    <xf numFmtId="0" fontId="53" fillId="0" borderId="14" xfId="0" applyFont="1" applyBorder="1" applyAlignment="1" applyProtection="1">
      <alignment horizontal="center" vertical="center" wrapText="1" readingOrder="2"/>
      <protection locked="0"/>
    </xf>
    <xf numFmtId="0" fontId="53" fillId="0" borderId="20" xfId="0" applyFont="1" applyBorder="1" applyAlignment="1" applyProtection="1">
      <alignment horizontal="center" vertical="center" wrapText="1" readingOrder="2"/>
      <protection locked="0"/>
    </xf>
    <xf numFmtId="0" fontId="42" fillId="7" borderId="11" xfId="0" applyFont="1" applyFill="1" applyBorder="1" applyAlignment="1" applyProtection="1">
      <alignment horizontal="center" vertical="center" wrapText="1" readingOrder="2"/>
      <protection locked="0"/>
    </xf>
    <xf numFmtId="0" fontId="42" fillId="7" borderId="20" xfId="0" applyFont="1" applyFill="1" applyBorder="1" applyAlignment="1" applyProtection="1">
      <alignment horizontal="center" vertical="center" wrapText="1" readingOrder="2"/>
      <protection locked="0"/>
    </xf>
    <xf numFmtId="0" fontId="38" fillId="2" borderId="0" xfId="0" applyFont="1" applyFill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  <xf numFmtId="0" fontId="2" fillId="2" borderId="17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24" fillId="0" borderId="0" xfId="0" applyFont="1" applyAlignment="1">
      <alignment horizontal="center" vertical="center" readingOrder="2"/>
    </xf>
    <xf numFmtId="0" fontId="24" fillId="0" borderId="0" xfId="0" applyFont="1" applyAlignment="1" applyProtection="1">
      <alignment horizontal="right" vertical="center" readingOrder="2"/>
      <protection locked="0"/>
    </xf>
    <xf numFmtId="0" fontId="26" fillId="0" borderId="0" xfId="0" applyFont="1" applyAlignment="1">
      <alignment horizontal="right" vertical="center" readingOrder="2"/>
    </xf>
    <xf numFmtId="0" fontId="24" fillId="7" borderId="2" xfId="0" applyFont="1" applyFill="1" applyBorder="1" applyAlignment="1">
      <alignment horizontal="right" vertical="center" wrapText="1" readingOrder="2"/>
    </xf>
    <xf numFmtId="0" fontId="24" fillId="7" borderId="0" xfId="0" applyFont="1" applyFill="1" applyAlignment="1">
      <alignment horizontal="right" vertical="center" wrapText="1" readingOrder="2"/>
    </xf>
    <xf numFmtId="0" fontId="28" fillId="2" borderId="0" xfId="0" applyFont="1" applyFill="1" applyAlignment="1" applyProtection="1">
      <alignment horizontal="right" vertical="top" wrapText="1" readingOrder="2"/>
      <protection locked="0"/>
    </xf>
    <xf numFmtId="0" fontId="28" fillId="2" borderId="15" xfId="0" applyFont="1" applyFill="1" applyBorder="1" applyAlignment="1" applyProtection="1">
      <alignment horizontal="right" vertical="top" wrapText="1" readingOrder="2"/>
      <protection locked="0"/>
    </xf>
    <xf numFmtId="0" fontId="26" fillId="0" borderId="11" xfId="0" applyFont="1" applyBorder="1" applyAlignment="1" applyProtection="1">
      <alignment horizontal="center" vertical="center" wrapText="1" readingOrder="2"/>
      <protection locked="0"/>
    </xf>
    <xf numFmtId="0" fontId="26" fillId="0" borderId="20" xfId="0" applyFont="1" applyBorder="1" applyAlignment="1" applyProtection="1">
      <alignment horizontal="center" vertical="center" wrapText="1" readingOrder="2"/>
      <protection locked="0"/>
    </xf>
    <xf numFmtId="0" fontId="34" fillId="0" borderId="9" xfId="0" applyFont="1" applyBorder="1" applyAlignment="1">
      <alignment horizontal="right" vertical="center" readingOrder="2"/>
    </xf>
    <xf numFmtId="0" fontId="27" fillId="0" borderId="7" xfId="0" applyFont="1" applyBorder="1" applyAlignment="1">
      <alignment horizontal="right" vertical="center" readingOrder="2"/>
    </xf>
    <xf numFmtId="0" fontId="26" fillId="2" borderId="5" xfId="0" applyFont="1" applyFill="1" applyBorder="1" applyAlignment="1" applyProtection="1">
      <alignment horizontal="center" vertical="center" readingOrder="2"/>
      <protection locked="0"/>
    </xf>
    <xf numFmtId="0" fontId="23" fillId="0" borderId="9" xfId="0" applyFont="1" applyBorder="1" applyAlignment="1">
      <alignment horizontal="right" vertical="center" readingOrder="2"/>
    </xf>
    <xf numFmtId="0" fontId="23" fillId="0" borderId="10" xfId="0" applyFont="1" applyBorder="1" applyAlignment="1">
      <alignment horizontal="right" vertical="center" readingOrder="2"/>
    </xf>
    <xf numFmtId="0" fontId="23" fillId="0" borderId="7" xfId="0" applyFont="1" applyBorder="1" applyAlignment="1">
      <alignment horizontal="right" vertical="center" readingOrder="2"/>
    </xf>
    <xf numFmtId="0" fontId="28" fillId="2" borderId="9" xfId="0" applyFont="1" applyFill="1" applyBorder="1" applyAlignment="1">
      <alignment horizontal="center" vertical="center" readingOrder="2"/>
    </xf>
    <xf numFmtId="0" fontId="28" fillId="2" borderId="10" xfId="0" applyFont="1" applyFill="1" applyBorder="1" applyAlignment="1">
      <alignment horizontal="center" vertical="center" readingOrder="2"/>
    </xf>
    <xf numFmtId="0" fontId="28" fillId="2" borderId="7" xfId="0" applyFont="1" applyFill="1" applyBorder="1" applyAlignment="1">
      <alignment horizontal="center" vertical="center" readingOrder="2"/>
    </xf>
    <xf numFmtId="0" fontId="39" fillId="0" borderId="17" xfId="0" applyFont="1" applyBorder="1" applyAlignment="1">
      <alignment horizontal="right" vertical="top" wrapText="1" readingOrder="2"/>
    </xf>
    <xf numFmtId="0" fontId="23" fillId="0" borderId="4" xfId="0" applyFont="1" applyBorder="1" applyAlignment="1">
      <alignment horizontal="right" vertical="top" wrapText="1" readingOrder="2"/>
    </xf>
    <xf numFmtId="0" fontId="23" fillId="0" borderId="15" xfId="0" applyFont="1" applyBorder="1" applyAlignment="1">
      <alignment horizontal="center" vertical="center" readingOrder="2"/>
    </xf>
    <xf numFmtId="0" fontId="23" fillId="0" borderId="4" xfId="0" applyFont="1" applyBorder="1" applyAlignment="1">
      <alignment horizontal="center" vertical="center" readingOrder="2"/>
    </xf>
    <xf numFmtId="0" fontId="44" fillId="0" borderId="0" xfId="0" applyFont="1" applyAlignment="1">
      <alignment horizontal="right" vertical="center" readingOrder="2"/>
    </xf>
    <xf numFmtId="0" fontId="0" fillId="0" borderId="5" xfId="0" applyBorder="1" applyAlignment="1">
      <alignment vertical="center" wrapText="1" readingOrder="2"/>
    </xf>
    <xf numFmtId="0" fontId="26" fillId="0" borderId="5" xfId="0" applyFont="1" applyBorder="1" applyAlignment="1" applyProtection="1">
      <alignment horizontal="center" vertical="center" readingOrder="2"/>
      <protection locked="0"/>
    </xf>
    <xf numFmtId="0" fontId="26" fillId="7" borderId="5" xfId="0" applyFont="1" applyFill="1" applyBorder="1" applyAlignment="1" applyProtection="1">
      <alignment horizontal="center" vertical="center" wrapText="1" readingOrder="2"/>
      <protection locked="0"/>
    </xf>
    <xf numFmtId="0" fontId="26" fillId="0" borderId="1" xfId="0" applyFont="1" applyBorder="1" applyAlignment="1" applyProtection="1">
      <alignment horizontal="center" vertical="center" readingOrder="2"/>
      <protection locked="0"/>
    </xf>
    <xf numFmtId="0" fontId="26" fillId="0" borderId="3" xfId="0" applyFont="1" applyBorder="1" applyAlignment="1" applyProtection="1">
      <alignment horizontal="center" vertical="center" readingOrder="2"/>
      <protection locked="0"/>
    </xf>
    <xf numFmtId="0" fontId="26" fillId="0" borderId="17" xfId="0" applyFont="1" applyBorder="1" applyAlignment="1" applyProtection="1">
      <alignment horizontal="center" vertical="center" readingOrder="2"/>
      <protection locked="0"/>
    </xf>
    <xf numFmtId="0" fontId="26" fillId="0" borderId="4" xfId="0" applyFont="1" applyBorder="1" applyAlignment="1" applyProtection="1">
      <alignment horizontal="center" vertical="center" readingOrder="2"/>
      <protection locked="0"/>
    </xf>
    <xf numFmtId="0" fontId="51" fillId="0" borderId="1" xfId="0" applyFont="1" applyBorder="1" applyAlignment="1">
      <alignment horizontal="right" vertical="center" readingOrder="2"/>
    </xf>
    <xf numFmtId="0" fontId="28" fillId="0" borderId="2" xfId="0" applyFont="1" applyBorder="1" applyAlignment="1">
      <alignment horizontal="right" vertical="center" readingOrder="2"/>
    </xf>
    <xf numFmtId="0" fontId="28" fillId="0" borderId="3" xfId="0" applyFont="1" applyBorder="1" applyAlignment="1">
      <alignment horizontal="right" vertical="center" readingOrder="2"/>
    </xf>
    <xf numFmtId="0" fontId="39" fillId="0" borderId="5" xfId="0" applyFont="1" applyBorder="1" applyAlignment="1">
      <alignment horizontal="center" vertical="center" wrapText="1" readingOrder="2"/>
    </xf>
    <xf numFmtId="0" fontId="26" fillId="0" borderId="15" xfId="0" applyFont="1" applyBorder="1" applyAlignment="1">
      <alignment horizontal="right" vertical="top" wrapText="1" readingOrder="2"/>
    </xf>
    <xf numFmtId="0" fontId="33" fillId="0" borderId="1" xfId="0" applyFont="1" applyBorder="1" applyAlignment="1">
      <alignment horizontal="center" vertical="top" wrapText="1" readingOrder="2"/>
    </xf>
    <xf numFmtId="0" fontId="33" fillId="0" borderId="2" xfId="0" applyFont="1" applyBorder="1" applyAlignment="1">
      <alignment horizontal="center" vertical="top" wrapText="1" readingOrder="2"/>
    </xf>
    <xf numFmtId="0" fontId="33" fillId="0" borderId="3" xfId="0" applyFont="1" applyBorder="1" applyAlignment="1">
      <alignment horizontal="center" vertical="top" wrapText="1" readingOrder="2"/>
    </xf>
    <xf numFmtId="0" fontId="33" fillId="0" borderId="17" xfId="0" applyFont="1" applyBorder="1" applyAlignment="1">
      <alignment horizontal="center" vertical="top" wrapText="1" readingOrder="2"/>
    </xf>
    <xf numFmtId="0" fontId="33" fillId="0" borderId="15" xfId="0" applyFont="1" applyBorder="1" applyAlignment="1">
      <alignment horizontal="center" vertical="top" wrapText="1" readingOrder="2"/>
    </xf>
    <xf numFmtId="0" fontId="33" fillId="0" borderId="4" xfId="0" applyFont="1" applyBorder="1" applyAlignment="1">
      <alignment horizontal="center" vertical="top" wrapText="1" readingOrder="2"/>
    </xf>
    <xf numFmtId="0" fontId="28" fillId="2" borderId="11" xfId="0" applyFont="1" applyFill="1" applyBorder="1" applyAlignment="1" applyProtection="1">
      <alignment horizontal="center" vertical="center" readingOrder="2"/>
      <protection locked="0"/>
    </xf>
    <xf numFmtId="0" fontId="28" fillId="2" borderId="20" xfId="0" applyFont="1" applyFill="1" applyBorder="1" applyAlignment="1" applyProtection="1">
      <alignment horizontal="center" vertical="center" readingOrder="2"/>
      <protection locked="0"/>
    </xf>
    <xf numFmtId="0" fontId="23" fillId="0" borderId="15" xfId="0" applyFont="1" applyBorder="1" applyAlignment="1">
      <alignment vertical="center" readingOrder="2"/>
    </xf>
    <xf numFmtId="0" fontId="39" fillId="0" borderId="1" xfId="0" applyFont="1" applyBorder="1" applyAlignment="1">
      <alignment horizontal="center" vertical="center" wrapText="1" readingOrder="2"/>
    </xf>
    <xf numFmtId="0" fontId="39" fillId="0" borderId="3" xfId="0" applyFont="1" applyBorder="1" applyAlignment="1">
      <alignment horizontal="center" vertical="center" wrapText="1" readingOrder="2"/>
    </xf>
    <xf numFmtId="0" fontId="39" fillId="0" borderId="17" xfId="0" applyFont="1" applyBorder="1" applyAlignment="1">
      <alignment horizontal="center" vertical="center" wrapText="1" readingOrder="2"/>
    </xf>
    <xf numFmtId="0" fontId="39" fillId="0" borderId="4" xfId="0" applyFont="1" applyBorder="1" applyAlignment="1">
      <alignment horizontal="center" vertical="center" wrapText="1" readingOrder="2"/>
    </xf>
    <xf numFmtId="0" fontId="26" fillId="3" borderId="1" xfId="0" applyFont="1" applyFill="1" applyBorder="1" applyAlignment="1" applyProtection="1">
      <alignment horizontal="center" vertical="center" wrapText="1" readingOrder="2"/>
      <protection locked="0"/>
    </xf>
    <xf numFmtId="0" fontId="26" fillId="3" borderId="3" xfId="0" applyFont="1" applyFill="1" applyBorder="1" applyAlignment="1" applyProtection="1">
      <alignment horizontal="center" vertical="center" wrapText="1" readingOrder="2"/>
      <protection locked="0"/>
    </xf>
    <xf numFmtId="0" fontId="26" fillId="3" borderId="17" xfId="0" applyFont="1" applyFill="1" applyBorder="1" applyAlignment="1" applyProtection="1">
      <alignment horizontal="center" vertical="center" wrapText="1" readingOrder="2"/>
      <protection locked="0"/>
    </xf>
    <xf numFmtId="0" fontId="26" fillId="3" borderId="4" xfId="0" applyFont="1" applyFill="1" applyBorder="1" applyAlignment="1" applyProtection="1">
      <alignment horizontal="center" vertical="center" wrapText="1" readingOrder="2"/>
      <protection locked="0"/>
    </xf>
    <xf numFmtId="0" fontId="23" fillId="0" borderId="0" xfId="0" applyFont="1" applyAlignment="1">
      <alignment vertical="center" readingOrder="2"/>
    </xf>
    <xf numFmtId="0" fontId="26" fillId="2" borderId="0" xfId="0" applyFont="1" applyFill="1" applyAlignment="1" applyProtection="1">
      <alignment horizontal="right" vertical="center" readingOrder="2"/>
      <protection locked="0"/>
    </xf>
    <xf numFmtId="0" fontId="23" fillId="0" borderId="2" xfId="0" applyFont="1" applyBorder="1" applyAlignment="1">
      <alignment horizontal="right" vertical="center" readingOrder="2"/>
    </xf>
    <xf numFmtId="0" fontId="23" fillId="0" borderId="17" xfId="0" applyFont="1" applyBorder="1" applyAlignment="1">
      <alignment horizontal="right" vertical="top" wrapText="1" readingOrder="2"/>
    </xf>
    <xf numFmtId="0" fontId="0" fillId="0" borderId="5" xfId="0" applyBorder="1" applyAlignment="1">
      <alignment horizontal="center" readingOrder="2"/>
    </xf>
    <xf numFmtId="0" fontId="38" fillId="0" borderId="10" xfId="0" applyFont="1" applyBorder="1" applyAlignment="1">
      <alignment horizontal="center" vertical="center" readingOrder="2"/>
    </xf>
    <xf numFmtId="0" fontId="38" fillId="0" borderId="7" xfId="0" applyFont="1" applyBorder="1" applyAlignment="1">
      <alignment horizontal="center" vertical="center" readingOrder="2"/>
    </xf>
    <xf numFmtId="0" fontId="26" fillId="0" borderId="1" xfId="0" applyFont="1" applyBorder="1" applyAlignment="1">
      <alignment horizontal="right" vertical="center" readingOrder="2"/>
    </xf>
    <xf numFmtId="0" fontId="26" fillId="0" borderId="3" xfId="0" applyFont="1" applyBorder="1" applyAlignment="1">
      <alignment horizontal="right" vertical="center" readingOrder="2"/>
    </xf>
    <xf numFmtId="0" fontId="32" fillId="0" borderId="1" xfId="0" applyFont="1" applyBorder="1" applyAlignment="1">
      <alignment horizontal="center" vertical="center" readingOrder="2"/>
    </xf>
    <xf numFmtId="0" fontId="32" fillId="0" borderId="2" xfId="0" applyFont="1" applyBorder="1" applyAlignment="1">
      <alignment horizontal="center" vertical="center" readingOrder="2"/>
    </xf>
    <xf numFmtId="0" fontId="32" fillId="0" borderId="3" xfId="0" applyFont="1" applyBorder="1" applyAlignment="1">
      <alignment horizontal="center" vertical="center" readingOrder="2"/>
    </xf>
    <xf numFmtId="0" fontId="32" fillId="0" borderId="17" xfId="0" applyFont="1" applyBorder="1" applyAlignment="1">
      <alignment horizontal="center" vertical="center" readingOrder="2"/>
    </xf>
    <xf numFmtId="0" fontId="32" fillId="0" borderId="15" xfId="0" applyFont="1" applyBorder="1" applyAlignment="1">
      <alignment horizontal="center" vertical="center" readingOrder="2"/>
    </xf>
    <xf numFmtId="0" fontId="32" fillId="0" borderId="4" xfId="0" applyFont="1" applyBorder="1" applyAlignment="1">
      <alignment horizontal="center" vertical="center" readingOrder="2"/>
    </xf>
    <xf numFmtId="0" fontId="21" fillId="0" borderId="0" xfId="0" applyFont="1" applyAlignment="1" applyProtection="1">
      <alignment horizontal="center" readingOrder="2"/>
      <protection locked="0"/>
    </xf>
    <xf numFmtId="0" fontId="23" fillId="0" borderId="1" xfId="0" applyFont="1" applyBorder="1" applyAlignment="1">
      <alignment horizontal="center" vertical="center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7" xfId="0" applyFont="1" applyBorder="1" applyAlignment="1">
      <alignment horizontal="center" vertical="center" readingOrder="2"/>
    </xf>
    <xf numFmtId="0" fontId="26" fillId="0" borderId="5" xfId="0" applyFont="1" applyBorder="1" applyAlignment="1" applyProtection="1">
      <alignment horizontal="right" vertical="center" readingOrder="2"/>
      <protection locked="0"/>
    </xf>
    <xf numFmtId="0" fontId="36" fillId="0" borderId="0" xfId="0" applyFont="1" applyAlignment="1">
      <alignment horizontal="right" vertical="center" readingOrder="2"/>
    </xf>
    <xf numFmtId="0" fontId="30" fillId="0" borderId="5" xfId="0" applyFont="1" applyBorder="1" applyAlignment="1">
      <alignment horizontal="right" readingOrder="2"/>
    </xf>
    <xf numFmtId="0" fontId="26" fillId="0" borderId="5" xfId="0" applyFont="1" applyBorder="1" applyAlignment="1">
      <alignment horizontal="center" vertical="center" wrapText="1" readingOrder="2"/>
    </xf>
    <xf numFmtId="0" fontId="0" fillId="0" borderId="9" xfId="0" applyBorder="1" applyAlignment="1">
      <alignment horizontal="center" vertical="justify"/>
    </xf>
    <xf numFmtId="0" fontId="0" fillId="0" borderId="7" xfId="0" applyBorder="1" applyAlignment="1">
      <alignment horizontal="center" vertical="justify"/>
    </xf>
    <xf numFmtId="0" fontId="23" fillId="0" borderId="10" xfId="0" applyFont="1" applyBorder="1" applyAlignment="1">
      <alignment horizontal="center" vertical="center" readingOrder="2"/>
    </xf>
    <xf numFmtId="0" fontId="44" fillId="2" borderId="0" xfId="0" applyFont="1" applyFill="1" applyAlignment="1">
      <alignment horizontal="right" vertical="center" readingOrder="2"/>
    </xf>
    <xf numFmtId="0" fontId="31" fillId="2" borderId="0" xfId="0" applyFont="1" applyFill="1" applyAlignment="1">
      <alignment vertical="center" readingOrder="2"/>
    </xf>
    <xf numFmtId="0" fontId="0" fillId="2" borderId="0" xfId="0" applyFill="1" applyAlignment="1">
      <alignment vertical="center" readingOrder="2"/>
    </xf>
    <xf numFmtId="0" fontId="26" fillId="2" borderId="1" xfId="0" applyFont="1" applyFill="1" applyBorder="1" applyAlignment="1" applyProtection="1">
      <alignment horizontal="right" vertical="center" readingOrder="2"/>
      <protection locked="0"/>
    </xf>
    <xf numFmtId="0" fontId="26" fillId="2" borderId="7" xfId="0" applyFont="1" applyFill="1" applyBorder="1" applyAlignment="1" applyProtection="1">
      <alignment horizontal="right" vertical="center" readingOrder="2"/>
      <protection locked="0"/>
    </xf>
    <xf numFmtId="0" fontId="23" fillId="0" borderId="2" xfId="0" applyFont="1" applyBorder="1" applyAlignment="1">
      <alignment horizontal="center" vertical="top" wrapText="1" readingOrder="2"/>
    </xf>
    <xf numFmtId="0" fontId="32" fillId="2" borderId="5" xfId="0" applyFont="1" applyFill="1" applyBorder="1" applyAlignment="1">
      <alignment horizontal="left" readingOrder="2"/>
    </xf>
    <xf numFmtId="0" fontId="30" fillId="2" borderId="5" xfId="0" applyFont="1" applyFill="1" applyBorder="1" applyAlignment="1">
      <alignment horizontal="left" readingOrder="2"/>
    </xf>
    <xf numFmtId="0" fontId="0" fillId="2" borderId="0" xfId="0" applyFill="1" applyAlignment="1">
      <alignment horizontal="center" vertical="center" readingOrder="2"/>
    </xf>
    <xf numFmtId="0" fontId="27" fillId="2" borderId="0" xfId="0" applyFont="1" applyFill="1" applyAlignment="1">
      <alignment horizontal="center" vertical="center" readingOrder="2"/>
    </xf>
    <xf numFmtId="0" fontId="28" fillId="2" borderId="9" xfId="0" applyFont="1" applyFill="1" applyBorder="1" applyAlignment="1" applyProtection="1">
      <alignment horizontal="center" vertical="center" readingOrder="2"/>
      <protection locked="0"/>
    </xf>
    <xf numFmtId="0" fontId="28" fillId="2" borderId="10" xfId="0" applyFont="1" applyFill="1" applyBorder="1" applyAlignment="1" applyProtection="1">
      <alignment horizontal="center" vertical="center" readingOrder="2"/>
      <protection locked="0"/>
    </xf>
    <xf numFmtId="0" fontId="28" fillId="2" borderId="7" xfId="0" applyFont="1" applyFill="1" applyBorder="1" applyAlignment="1" applyProtection="1">
      <alignment horizontal="center" vertical="center" readingOrder="2"/>
      <protection locked="0"/>
    </xf>
    <xf numFmtId="0" fontId="26" fillId="2" borderId="9" xfId="0" applyFont="1" applyFill="1" applyBorder="1" applyAlignment="1" applyProtection="1">
      <alignment horizontal="center" vertical="center" readingOrder="2"/>
      <protection locked="0"/>
    </xf>
    <xf numFmtId="0" fontId="26" fillId="2" borderId="7" xfId="0" applyFont="1" applyFill="1" applyBorder="1" applyAlignment="1" applyProtection="1">
      <alignment horizontal="center" vertical="center" readingOrder="2"/>
      <protection locked="0"/>
    </xf>
    <xf numFmtId="0" fontId="23" fillId="0" borderId="0" xfId="0" applyFont="1" applyAlignment="1">
      <alignment horizontal="center" vertical="center" readingOrder="2"/>
    </xf>
    <xf numFmtId="0" fontId="27" fillId="2" borderId="10" xfId="0" applyFont="1" applyFill="1" applyBorder="1" applyAlignment="1">
      <alignment horizontal="right" vertical="center" wrapText="1" readingOrder="2"/>
    </xf>
    <xf numFmtId="0" fontId="27" fillId="2" borderId="7" xfId="0" applyFont="1" applyFill="1" applyBorder="1" applyAlignment="1">
      <alignment horizontal="right" vertical="center" wrapText="1" readingOrder="2"/>
    </xf>
    <xf numFmtId="0" fontId="23" fillId="0" borderId="9" xfId="0" applyFont="1" applyBorder="1" applyAlignment="1">
      <alignment vertical="center" readingOrder="2"/>
    </xf>
    <xf numFmtId="0" fontId="49" fillId="0" borderId="0" xfId="0" applyFont="1" applyAlignment="1">
      <alignment horizontal="right" readingOrder="2"/>
    </xf>
    <xf numFmtId="0" fontId="49" fillId="0" borderId="13" xfId="0" applyFont="1" applyBorder="1" applyAlignment="1">
      <alignment horizontal="right" readingOrder="2"/>
    </xf>
    <xf numFmtId="0" fontId="38" fillId="2" borderId="5" xfId="0" applyFont="1" applyFill="1" applyBorder="1" applyAlignment="1">
      <alignment horizontal="center" vertical="center" wrapText="1" readingOrder="2"/>
    </xf>
    <xf numFmtId="0" fontId="39" fillId="0" borderId="0" xfId="0" applyFont="1" applyAlignment="1">
      <alignment vertical="center" readingOrder="2"/>
    </xf>
    <xf numFmtId="0" fontId="0" fillId="0" borderId="0" xfId="0" applyAlignment="1">
      <alignment vertical="center" readingOrder="2"/>
    </xf>
    <xf numFmtId="0" fontId="0" fillId="0" borderId="13" xfId="0" applyBorder="1" applyAlignment="1">
      <alignment vertical="center" readingOrder="2"/>
    </xf>
    <xf numFmtId="0" fontId="0" fillId="0" borderId="5" xfId="0" applyBorder="1" applyAlignment="1">
      <alignment horizontal="center" vertical="center" readingOrder="2"/>
    </xf>
    <xf numFmtId="0" fontId="39" fillId="0" borderId="5" xfId="0" applyFont="1" applyBorder="1" applyAlignment="1">
      <alignment horizontal="center" vertical="center" readingOrder="1"/>
    </xf>
    <xf numFmtId="0" fontId="28" fillId="0" borderId="5" xfId="0" applyFont="1" applyBorder="1" applyAlignment="1">
      <alignment horizontal="center" vertical="center" readingOrder="1"/>
    </xf>
    <xf numFmtId="0" fontId="28" fillId="0" borderId="5" xfId="0" applyFont="1" applyBorder="1" applyAlignment="1">
      <alignment horizontal="right" vertical="center" readingOrder="2"/>
    </xf>
    <xf numFmtId="0" fontId="28" fillId="2" borderId="9" xfId="0" applyFont="1" applyFill="1" applyBorder="1" applyAlignment="1" applyProtection="1">
      <alignment horizontal="center" vertical="center" wrapText="1" readingOrder="2"/>
      <protection locked="0"/>
    </xf>
    <xf numFmtId="0" fontId="28" fillId="2" borderId="10" xfId="0" applyFont="1" applyFill="1" applyBorder="1" applyAlignment="1" applyProtection="1">
      <alignment horizontal="center" vertical="center" wrapText="1" readingOrder="2"/>
      <protection locked="0"/>
    </xf>
    <xf numFmtId="0" fontId="28" fillId="2" borderId="7" xfId="0" applyFont="1" applyFill="1" applyBorder="1" applyAlignment="1" applyProtection="1">
      <alignment horizontal="center" vertical="center" wrapText="1" readingOrder="2"/>
      <protection locked="0"/>
    </xf>
    <xf numFmtId="0" fontId="23" fillId="2" borderId="14" xfId="0" applyFont="1" applyFill="1" applyBorder="1" applyAlignment="1">
      <alignment horizontal="center" vertical="center" readingOrder="2"/>
    </xf>
    <xf numFmtId="0" fontId="0" fillId="2" borderId="9" xfId="0" applyFill="1" applyBorder="1" applyAlignment="1">
      <alignment horizontal="center" vertical="center" wrapText="1" readingOrder="2"/>
    </xf>
    <xf numFmtId="0" fontId="0" fillId="2" borderId="7" xfId="0" applyFill="1" applyBorder="1" applyAlignment="1">
      <alignment horizontal="center" vertical="center" wrapText="1" readingOrder="2"/>
    </xf>
    <xf numFmtId="0" fontId="26" fillId="2" borderId="1" xfId="0" applyFont="1" applyFill="1" applyBorder="1" applyAlignment="1">
      <alignment horizontal="center" vertical="center" readingOrder="2"/>
    </xf>
    <xf numFmtId="0" fontId="26" fillId="2" borderId="3" xfId="0" applyFont="1" applyFill="1" applyBorder="1" applyAlignment="1">
      <alignment horizontal="center" vertical="center" readingOrder="2"/>
    </xf>
    <xf numFmtId="0" fontId="26" fillId="2" borderId="12" xfId="0" applyFont="1" applyFill="1" applyBorder="1" applyAlignment="1">
      <alignment horizontal="center" vertical="center" readingOrder="2"/>
    </xf>
    <xf numFmtId="0" fontId="26" fillId="2" borderId="13" xfId="0" applyFont="1" applyFill="1" applyBorder="1" applyAlignment="1">
      <alignment horizontal="center" vertical="center" readingOrder="2"/>
    </xf>
    <xf numFmtId="0" fontId="26" fillId="2" borderId="17" xfId="0" applyFont="1" applyFill="1" applyBorder="1" applyAlignment="1">
      <alignment horizontal="center" vertical="center" readingOrder="2"/>
    </xf>
    <xf numFmtId="0" fontId="26" fillId="2" borderId="4" xfId="0" applyFont="1" applyFill="1" applyBorder="1" applyAlignment="1">
      <alignment horizontal="center" vertical="center" readingOrder="2"/>
    </xf>
    <xf numFmtId="0" fontId="23" fillId="2" borderId="1" xfId="0" applyFont="1" applyFill="1" applyBorder="1" applyAlignment="1">
      <alignment horizontal="center" vertical="center" wrapText="1" readingOrder="2"/>
    </xf>
    <xf numFmtId="0" fontId="23" fillId="2" borderId="2" xfId="0" applyFont="1" applyFill="1" applyBorder="1" applyAlignment="1">
      <alignment horizontal="center" vertical="center" wrapText="1" readingOrder="2"/>
    </xf>
    <xf numFmtId="0" fontId="23" fillId="2" borderId="3" xfId="0" applyFont="1" applyFill="1" applyBorder="1" applyAlignment="1">
      <alignment horizontal="center" vertical="center" wrapText="1" readingOrder="2"/>
    </xf>
    <xf numFmtId="0" fontId="23" fillId="2" borderId="12" xfId="0" applyFont="1" applyFill="1" applyBorder="1" applyAlignment="1">
      <alignment horizontal="center" vertical="center" wrapText="1" readingOrder="2"/>
    </xf>
    <xf numFmtId="0" fontId="23" fillId="2" borderId="0" xfId="0" applyFont="1" applyFill="1" applyAlignment="1">
      <alignment horizontal="center" vertical="center" wrapText="1" readingOrder="2"/>
    </xf>
    <xf numFmtId="0" fontId="23" fillId="2" borderId="13" xfId="0" applyFont="1" applyFill="1" applyBorder="1" applyAlignment="1">
      <alignment horizontal="center" vertical="center" wrapText="1" readingOrder="2"/>
    </xf>
    <xf numFmtId="0" fontId="23" fillId="2" borderId="17" xfId="0" applyFont="1" applyFill="1" applyBorder="1" applyAlignment="1">
      <alignment horizontal="center" vertical="center" wrapText="1" readingOrder="2"/>
    </xf>
    <xf numFmtId="0" fontId="23" fillId="2" borderId="15" xfId="0" applyFont="1" applyFill="1" applyBorder="1" applyAlignment="1">
      <alignment horizontal="center" vertical="center" wrapText="1" readingOrder="2"/>
    </xf>
    <xf numFmtId="0" fontId="23" fillId="2" borderId="4" xfId="0" applyFont="1" applyFill="1" applyBorder="1" applyAlignment="1">
      <alignment horizontal="center" vertical="center" wrapText="1" readingOrder="2"/>
    </xf>
    <xf numFmtId="0" fontId="23" fillId="2" borderId="9" xfId="0" applyFont="1" applyFill="1" applyBorder="1" applyAlignment="1">
      <alignment horizontal="center" vertical="center" wrapText="1" readingOrder="2"/>
    </xf>
    <xf numFmtId="0" fontId="23" fillId="2" borderId="10" xfId="0" applyFont="1" applyFill="1" applyBorder="1" applyAlignment="1">
      <alignment horizontal="center" vertical="center" wrapText="1" readingOrder="2"/>
    </xf>
    <xf numFmtId="0" fontId="23" fillId="2" borderId="7" xfId="0" applyFont="1" applyFill="1" applyBorder="1" applyAlignment="1">
      <alignment horizontal="center" vertical="center" wrapText="1" readingOrder="2"/>
    </xf>
    <xf numFmtId="2" fontId="28" fillId="2" borderId="5" xfId="0" applyNumberFormat="1" applyFont="1" applyFill="1" applyBorder="1" applyAlignment="1">
      <alignment horizontal="center" vertical="center" readingOrder="1"/>
    </xf>
    <xf numFmtId="164" fontId="28" fillId="9" borderId="5" xfId="0" applyNumberFormat="1" applyFont="1" applyFill="1" applyBorder="1" applyAlignment="1">
      <alignment horizontal="center" vertical="center" readingOrder="2"/>
    </xf>
    <xf numFmtId="2" fontId="0" fillId="2" borderId="5" xfId="0" applyNumberFormat="1" applyFill="1" applyBorder="1" applyAlignment="1">
      <alignment horizontal="center" vertical="center" readingOrder="2"/>
    </xf>
    <xf numFmtId="0" fontId="0" fillId="0" borderId="12" xfId="0" applyBorder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0" fillId="0" borderId="13" xfId="0" applyBorder="1" applyAlignment="1">
      <alignment horizontal="center" vertical="center" readingOrder="2"/>
    </xf>
    <xf numFmtId="0" fontId="0" fillId="0" borderId="5" xfId="0" applyBorder="1" applyAlignment="1">
      <alignment horizontal="center" vertical="top" wrapText="1" readingOrder="2"/>
    </xf>
    <xf numFmtId="0" fontId="0" fillId="0" borderId="5" xfId="0" applyBorder="1" applyAlignment="1">
      <alignment horizontal="center" vertical="top" readingOrder="2"/>
    </xf>
    <xf numFmtId="0" fontId="28" fillId="0" borderId="5" xfId="0" applyFont="1" applyBorder="1" applyAlignment="1">
      <alignment horizontal="center" vertical="center" readingOrder="2"/>
    </xf>
    <xf numFmtId="2" fontId="28" fillId="2" borderId="5" xfId="0" applyNumberFormat="1" applyFont="1" applyFill="1" applyBorder="1" applyAlignment="1">
      <alignment horizontal="center" vertical="center" readingOrder="2"/>
    </xf>
    <xf numFmtId="0" fontId="0" fillId="2" borderId="9" xfId="0" applyFill="1" applyBorder="1" applyAlignment="1">
      <alignment horizontal="center" vertical="center" readingOrder="2"/>
    </xf>
    <xf numFmtId="0" fontId="0" fillId="2" borderId="7" xfId="0" applyFill="1" applyBorder="1" applyAlignment="1">
      <alignment horizontal="center" vertical="center" readingOrder="2"/>
    </xf>
    <xf numFmtId="0" fontId="44" fillId="2" borderId="15" xfId="0" applyFont="1" applyFill="1" applyBorder="1" applyAlignment="1">
      <alignment horizontal="right" vertical="center" readingOrder="2"/>
    </xf>
    <xf numFmtId="0" fontId="31" fillId="0" borderId="9" xfId="0" applyFont="1" applyBorder="1" applyAlignment="1">
      <alignment vertical="center" readingOrder="2"/>
    </xf>
    <xf numFmtId="0" fontId="31" fillId="0" borderId="10" xfId="0" applyFont="1" applyBorder="1" applyAlignment="1">
      <alignment vertical="center" readingOrder="2"/>
    </xf>
    <xf numFmtId="0" fontId="31" fillId="0" borderId="7" xfId="0" applyFont="1" applyBorder="1" applyAlignment="1">
      <alignment vertical="center" readingOrder="2"/>
    </xf>
    <xf numFmtId="0" fontId="23" fillId="2" borderId="15" xfId="0" applyFont="1" applyFill="1" applyBorder="1" applyAlignment="1">
      <alignment horizontal="left" vertical="center" readingOrder="2"/>
    </xf>
    <xf numFmtId="0" fontId="48" fillId="2" borderId="11" xfId="0" applyFont="1" applyFill="1" applyBorder="1" applyAlignment="1" applyProtection="1">
      <alignment horizontal="center" vertical="center" wrapText="1" readingOrder="2"/>
      <protection locked="0"/>
    </xf>
    <xf numFmtId="0" fontId="48" fillId="2" borderId="20" xfId="0" applyFont="1" applyFill="1" applyBorder="1" applyAlignment="1" applyProtection="1">
      <alignment horizontal="center" vertical="center" wrapText="1" readingOrder="2"/>
      <protection locked="0"/>
    </xf>
    <xf numFmtId="0" fontId="25" fillId="2" borderId="17" xfId="0" applyFont="1" applyFill="1" applyBorder="1" applyAlignment="1">
      <alignment horizontal="center" vertical="center" readingOrder="2"/>
    </xf>
    <xf numFmtId="0" fontId="25" fillId="2" borderId="15" xfId="0" applyFont="1" applyFill="1" applyBorder="1" applyAlignment="1">
      <alignment horizontal="center" vertical="center" readingOrder="2"/>
    </xf>
    <xf numFmtId="0" fontId="23" fillId="2" borderId="15" xfId="0" applyFont="1" applyFill="1" applyBorder="1" applyAlignment="1">
      <alignment horizontal="right" vertical="center" readingOrder="2"/>
    </xf>
    <xf numFmtId="0" fontId="28" fillId="2" borderId="5" xfId="0" applyFont="1" applyFill="1" applyBorder="1" applyAlignment="1">
      <alignment horizontal="right" vertical="top" wrapText="1" readingOrder="2"/>
    </xf>
    <xf numFmtId="0" fontId="39" fillId="2" borderId="9" xfId="0" applyFont="1" applyFill="1" applyBorder="1" applyAlignment="1">
      <alignment horizontal="right" vertical="top" wrapText="1" readingOrder="2"/>
    </xf>
    <xf numFmtId="0" fontId="0" fillId="2" borderId="10" xfId="0" applyFill="1" applyBorder="1" applyAlignment="1">
      <alignment horizontal="right" vertical="top" wrapText="1" readingOrder="2"/>
    </xf>
    <xf numFmtId="0" fontId="0" fillId="2" borderId="7" xfId="0" applyFill="1" applyBorder="1" applyAlignment="1">
      <alignment horizontal="right" vertical="top" wrapText="1" readingOrder="2"/>
    </xf>
    <xf numFmtId="0" fontId="43" fillId="7" borderId="0" xfId="0" applyFont="1" applyFill="1" applyAlignment="1" applyProtection="1">
      <alignment horizontal="center" vertical="center" readingOrder="2"/>
      <protection locked="0"/>
    </xf>
    <xf numFmtId="0" fontId="39" fillId="0" borderId="12" xfId="0" applyFont="1" applyBorder="1" applyAlignment="1">
      <alignment horizontal="right" vertical="center" readingOrder="2"/>
    </xf>
    <xf numFmtId="0" fontId="39" fillId="0" borderId="13" xfId="0" applyFont="1" applyBorder="1" applyAlignment="1">
      <alignment horizontal="right" vertical="center" readingOrder="2"/>
    </xf>
    <xf numFmtId="0" fontId="38" fillId="0" borderId="12" xfId="0" applyFont="1" applyBorder="1" applyAlignment="1">
      <alignment horizontal="center" vertical="center" readingOrder="2"/>
    </xf>
    <xf numFmtId="0" fontId="38" fillId="0" borderId="13" xfId="0" applyFont="1" applyBorder="1" applyAlignment="1">
      <alignment horizontal="center" vertical="center" readingOrder="2"/>
    </xf>
    <xf numFmtId="0" fontId="0" fillId="0" borderId="9" xfId="0" applyBorder="1" applyAlignment="1">
      <alignment horizontal="right" vertical="center" wrapText="1" readingOrder="2"/>
    </xf>
    <xf numFmtId="0" fontId="0" fillId="0" borderId="10" xfId="0" applyBorder="1" applyAlignment="1">
      <alignment horizontal="right" vertical="center" wrapText="1" readingOrder="2"/>
    </xf>
    <xf numFmtId="0" fontId="0" fillId="0" borderId="7" xfId="0" applyBorder="1" applyAlignment="1">
      <alignment horizontal="right" vertical="center" wrapText="1" readingOrder="2"/>
    </xf>
    <xf numFmtId="0" fontId="28" fillId="7" borderId="9" xfId="0" applyFont="1" applyFill="1" applyBorder="1" applyAlignment="1" applyProtection="1">
      <alignment horizontal="center" vertical="center" wrapText="1" readingOrder="2"/>
      <protection locked="0"/>
    </xf>
    <xf numFmtId="0" fontId="28" fillId="7" borderId="7" xfId="0" applyFont="1" applyFill="1" applyBorder="1" applyAlignment="1" applyProtection="1">
      <alignment horizontal="center" vertical="center" wrapText="1" readingOrder="2"/>
      <protection locked="0"/>
    </xf>
    <xf numFmtId="0" fontId="39" fillId="0" borderId="12" xfId="0" applyFont="1" applyBorder="1" applyAlignment="1">
      <alignment horizontal="center" vertical="center" readingOrder="2"/>
    </xf>
    <xf numFmtId="0" fontId="39" fillId="0" borderId="13" xfId="0" applyFont="1" applyBorder="1" applyAlignment="1">
      <alignment horizontal="center" vertical="center" readingOrder="2"/>
    </xf>
    <xf numFmtId="0" fontId="23" fillId="0" borderId="18" xfId="0" applyFont="1" applyBorder="1" applyAlignment="1">
      <alignment horizontal="center" vertical="center" wrapText="1" readingOrder="2"/>
    </xf>
    <xf numFmtId="0" fontId="23" fillId="0" borderId="21" xfId="0" applyFont="1" applyBorder="1" applyAlignment="1">
      <alignment horizontal="center" vertical="center" wrapText="1" readingOrder="2"/>
    </xf>
    <xf numFmtId="0" fontId="23" fillId="0" borderId="19" xfId="0" applyFont="1" applyBorder="1" applyAlignment="1">
      <alignment horizontal="center" vertical="center" wrapText="1" readingOrder="2"/>
    </xf>
    <xf numFmtId="0" fontId="23" fillId="0" borderId="12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 readingOrder="2"/>
    </xf>
    <xf numFmtId="0" fontId="23" fillId="0" borderId="13" xfId="0" applyFont="1" applyBorder="1" applyAlignment="1">
      <alignment horizontal="center" vertical="center" wrapText="1" readingOrder="2"/>
    </xf>
    <xf numFmtId="0" fontId="23" fillId="0" borderId="17" xfId="0" applyFont="1" applyBorder="1" applyAlignment="1">
      <alignment horizontal="center" vertical="center" wrapText="1" readingOrder="2"/>
    </xf>
    <xf numFmtId="0" fontId="23" fillId="0" borderId="15" xfId="0" applyFont="1" applyBorder="1" applyAlignment="1">
      <alignment horizontal="center" vertical="center" wrapText="1" readingOrder="2"/>
    </xf>
    <xf numFmtId="0" fontId="23" fillId="0" borderId="4" xfId="0" applyFont="1" applyBorder="1" applyAlignment="1">
      <alignment horizontal="center" vertical="center" wrapText="1" readingOrder="2"/>
    </xf>
    <xf numFmtId="0" fontId="26" fillId="7" borderId="9" xfId="0" applyFont="1" applyFill="1" applyBorder="1" applyAlignment="1" applyProtection="1">
      <alignment horizontal="center" vertical="center" wrapText="1" readingOrder="2"/>
      <protection locked="0"/>
    </xf>
    <xf numFmtId="0" fontId="26" fillId="7" borderId="7" xfId="0" applyFont="1" applyFill="1" applyBorder="1" applyAlignment="1" applyProtection="1">
      <alignment horizontal="center" vertical="center" wrapText="1" readingOrder="2"/>
      <protection locked="0"/>
    </xf>
    <xf numFmtId="0" fontId="27" fillId="0" borderId="9" xfId="0" applyFont="1" applyBorder="1" applyAlignment="1">
      <alignment horizontal="right" vertical="center" wrapText="1" readingOrder="2"/>
    </xf>
    <xf numFmtId="0" fontId="27" fillId="0" borderId="7" xfId="0" applyFont="1" applyBorder="1" applyAlignment="1">
      <alignment horizontal="right" vertical="center" wrapText="1" readingOrder="2"/>
    </xf>
    <xf numFmtId="0" fontId="26" fillId="2" borderId="9" xfId="0" applyFont="1" applyFill="1" applyBorder="1" applyAlignment="1" applyProtection="1">
      <alignment horizontal="center" vertical="center" wrapText="1" readingOrder="2"/>
      <protection locked="0"/>
    </xf>
    <xf numFmtId="0" fontId="26" fillId="2" borderId="7" xfId="0" applyFont="1" applyFill="1" applyBorder="1" applyAlignment="1" applyProtection="1">
      <alignment horizontal="center" vertical="center" wrapText="1" readingOrder="2"/>
      <protection locked="0"/>
    </xf>
    <xf numFmtId="0" fontId="0" fillId="2" borderId="5" xfId="0" applyFill="1" applyBorder="1" applyAlignment="1">
      <alignment horizontal="right" wrapText="1" readingOrder="2"/>
    </xf>
    <xf numFmtId="0" fontId="28" fillId="0" borderId="5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right" vertical="center" readingOrder="2"/>
    </xf>
    <xf numFmtId="0" fontId="44" fillId="0" borderId="2" xfId="0" applyFont="1" applyBorder="1" applyAlignment="1">
      <alignment horizontal="right" vertical="center" readingOrder="2"/>
    </xf>
    <xf numFmtId="0" fontId="45" fillId="0" borderId="2" xfId="0" applyFont="1" applyBorder="1" applyAlignment="1">
      <alignment horizontal="right" vertical="center" readingOrder="2"/>
    </xf>
    <xf numFmtId="0" fontId="45" fillId="2" borderId="2" xfId="0" applyFont="1" applyFill="1" applyBorder="1" applyAlignment="1">
      <alignment horizontal="right" vertical="center" readingOrder="2"/>
    </xf>
    <xf numFmtId="0" fontId="0" fillId="0" borderId="5" xfId="0" applyBorder="1" applyAlignment="1">
      <alignment horizontal="center" vertical="center" readingOrder="1"/>
    </xf>
    <xf numFmtId="0" fontId="27" fillId="0" borderId="1" xfId="0" applyFont="1" applyBorder="1" applyAlignment="1">
      <alignment horizontal="center" vertical="center" wrapText="1" readingOrder="2"/>
    </xf>
    <xf numFmtId="0" fontId="27" fillId="0" borderId="3" xfId="0" applyFont="1" applyBorder="1" applyAlignment="1">
      <alignment horizontal="center" vertical="center" wrapText="1" readingOrder="2"/>
    </xf>
    <xf numFmtId="0" fontId="27" fillId="0" borderId="17" xfId="0" applyFont="1" applyBorder="1" applyAlignment="1">
      <alignment horizontal="center" vertical="center" wrapText="1" readingOrder="2"/>
    </xf>
    <xf numFmtId="0" fontId="27" fillId="0" borderId="4" xfId="0" applyFont="1" applyBorder="1" applyAlignment="1">
      <alignment horizontal="center" vertical="center" wrapText="1" readingOrder="2"/>
    </xf>
    <xf numFmtId="0" fontId="39" fillId="0" borderId="12" xfId="0" applyFont="1" applyBorder="1" applyAlignment="1">
      <alignment horizontal="center" vertical="center" wrapText="1" readingOrder="2"/>
    </xf>
    <xf numFmtId="0" fontId="39" fillId="0" borderId="13" xfId="0" applyFont="1" applyBorder="1" applyAlignment="1">
      <alignment horizontal="center" vertical="center" wrapText="1" readingOrder="2"/>
    </xf>
    <xf numFmtId="0" fontId="22" fillId="2" borderId="0" xfId="0" applyFont="1" applyFill="1" applyAlignment="1" applyProtection="1">
      <alignment horizontal="right" vertical="center" wrapText="1" readingOrder="2"/>
      <protection locked="0"/>
    </xf>
    <xf numFmtId="0" fontId="36" fillId="0" borderId="0" xfId="0" applyFont="1" applyAlignment="1">
      <alignment horizontal="right" readingOrder="2"/>
    </xf>
    <xf numFmtId="0" fontId="0" fillId="3" borderId="3" xfId="0" applyFill="1" applyBorder="1" applyAlignment="1">
      <alignment horizontal="center" vertical="center" readingOrder="2"/>
    </xf>
    <xf numFmtId="0" fontId="0" fillId="3" borderId="4" xfId="0" applyFill="1" applyBorder="1" applyAlignment="1">
      <alignment horizontal="center" vertical="center" readingOrder="2"/>
    </xf>
    <xf numFmtId="0" fontId="0" fillId="2" borderId="0" xfId="0" applyFill="1" applyAlignment="1">
      <alignment horizontal="right" vertical="center" wrapText="1" readingOrder="2"/>
    </xf>
    <xf numFmtId="0" fontId="0" fillId="0" borderId="0" xfId="0" applyAlignment="1">
      <alignment horizontal="right" vertical="top" readingOrder="2"/>
    </xf>
    <xf numFmtId="0" fontId="0" fillId="0" borderId="0" xfId="0" applyAlignment="1">
      <alignment horizontal="right" wrapText="1" readingOrder="2"/>
    </xf>
    <xf numFmtId="0" fontId="38" fillId="2" borderId="5" xfId="0" applyFont="1" applyFill="1" applyBorder="1" applyAlignment="1" applyProtection="1">
      <alignment horizontal="center" vertical="center" readingOrder="2"/>
      <protection locked="0"/>
    </xf>
    <xf numFmtId="0" fontId="26" fillId="2" borderId="9" xfId="0" applyFont="1" applyFill="1" applyBorder="1" applyAlignment="1" applyProtection="1">
      <alignment horizontal="right" vertical="center" wrapText="1" readingOrder="2"/>
      <protection locked="0"/>
    </xf>
    <xf numFmtId="0" fontId="26" fillId="2" borderId="10" xfId="0" applyFont="1" applyFill="1" applyBorder="1" applyAlignment="1" applyProtection="1">
      <alignment horizontal="right" vertical="center" wrapText="1" readingOrder="2"/>
      <protection locked="0"/>
    </xf>
    <xf numFmtId="0" fontId="26" fillId="2" borderId="7" xfId="0" applyFont="1" applyFill="1" applyBorder="1" applyAlignment="1" applyProtection="1">
      <alignment horizontal="right" vertical="center" wrapText="1" readingOrder="2"/>
      <protection locked="0"/>
    </xf>
    <xf numFmtId="0" fontId="40" fillId="2" borderId="9" xfId="0" applyFont="1" applyFill="1" applyBorder="1" applyAlignment="1" applyProtection="1">
      <alignment horizontal="center" vertical="center" readingOrder="2"/>
      <protection locked="0"/>
    </xf>
    <xf numFmtId="0" fontId="40" fillId="2" borderId="7" xfId="0" applyFont="1" applyFill="1" applyBorder="1" applyAlignment="1" applyProtection="1">
      <alignment horizontal="center" vertical="center" readingOrder="2"/>
      <protection locked="0"/>
    </xf>
    <xf numFmtId="0" fontId="38" fillId="0" borderId="5" xfId="0" applyFont="1" applyBorder="1" applyAlignment="1">
      <alignment horizontal="center" vertical="center" readingOrder="2"/>
    </xf>
    <xf numFmtId="0" fontId="38" fillId="2" borderId="5" xfId="0" applyFont="1" applyFill="1" applyBorder="1" applyAlignment="1">
      <alignment horizontal="center" vertical="center" readingOrder="2"/>
    </xf>
    <xf numFmtId="0" fontId="28" fillId="2" borderId="10" xfId="0" applyFont="1" applyFill="1" applyBorder="1" applyAlignment="1">
      <alignment horizontal="left" vertical="center" readingOrder="2"/>
    </xf>
    <xf numFmtId="0" fontId="42" fillId="3" borderId="10" xfId="0" applyFont="1" applyFill="1" applyBorder="1" applyAlignment="1">
      <alignment horizontal="right" vertical="center" wrapText="1" readingOrder="2"/>
    </xf>
    <xf numFmtId="0" fontId="42" fillId="3" borderId="10" xfId="0" applyFont="1" applyFill="1" applyBorder="1" applyAlignment="1">
      <alignment horizontal="right" vertical="center" readingOrder="2"/>
    </xf>
    <xf numFmtId="0" fontId="42" fillId="3" borderId="7" xfId="0" applyFont="1" applyFill="1" applyBorder="1" applyAlignment="1">
      <alignment horizontal="right" vertical="center" readingOrder="2"/>
    </xf>
    <xf numFmtId="0" fontId="38" fillId="0" borderId="5" xfId="0" applyFont="1" applyBorder="1" applyAlignment="1">
      <alignment vertical="center" readingOrder="2"/>
    </xf>
    <xf numFmtId="0" fontId="23" fillId="0" borderId="5" xfId="0" applyFont="1" applyBorder="1" applyAlignment="1">
      <alignment vertical="center" readingOrder="2"/>
    </xf>
    <xf numFmtId="0" fontId="18" fillId="0" borderId="2" xfId="0" applyFont="1" applyBorder="1" applyAlignment="1" applyProtection="1">
      <alignment horizontal="right" vertical="top" wrapText="1"/>
      <protection locked="0"/>
    </xf>
    <xf numFmtId="0" fontId="18" fillId="0" borderId="2" xfId="0" applyFont="1" applyBorder="1" applyAlignment="1" applyProtection="1">
      <alignment horizontal="right" vertical="top"/>
      <protection locked="0"/>
    </xf>
    <xf numFmtId="0" fontId="18" fillId="0" borderId="0" xfId="0" applyFont="1" applyAlignment="1" applyProtection="1">
      <alignment horizontal="right" vertical="top"/>
      <protection locked="0"/>
    </xf>
    <xf numFmtId="0" fontId="25" fillId="0" borderId="9" xfId="0" applyFont="1" applyBorder="1" applyAlignment="1">
      <alignment horizontal="center" vertical="center" readingOrder="2"/>
    </xf>
    <xf numFmtId="0" fontId="25" fillId="0" borderId="7" xfId="0" applyFont="1" applyBorder="1" applyAlignment="1">
      <alignment horizontal="center" vertical="center" readingOrder="2"/>
    </xf>
    <xf numFmtId="0" fontId="25" fillId="2" borderId="1" xfId="0" applyFont="1" applyFill="1" applyBorder="1" applyAlignment="1">
      <alignment horizontal="center" vertical="center" readingOrder="2"/>
    </xf>
    <xf numFmtId="0" fontId="25" fillId="2" borderId="2" xfId="0" applyFont="1" applyFill="1" applyBorder="1" applyAlignment="1">
      <alignment horizontal="center" vertical="center" readingOrder="2"/>
    </xf>
    <xf numFmtId="0" fontId="39" fillId="0" borderId="18" xfId="0" applyFont="1" applyBorder="1" applyAlignment="1">
      <alignment horizontal="center" vertical="center" readingOrder="2"/>
    </xf>
    <xf numFmtId="0" fontId="39" fillId="0" borderId="19" xfId="0" applyFont="1" applyBorder="1" applyAlignment="1">
      <alignment horizontal="center" vertical="center" readingOrder="2"/>
    </xf>
    <xf numFmtId="0" fontId="46" fillId="0" borderId="0" xfId="0" applyFont="1" applyAlignment="1">
      <alignment horizontal="right" vertical="center" readingOrder="2"/>
    </xf>
    <xf numFmtId="0" fontId="47" fillId="0" borderId="0" xfId="0" applyFont="1" applyAlignment="1" applyProtection="1">
      <alignment horizontal="right" vertical="center" readingOrder="2"/>
      <protection locked="0"/>
    </xf>
    <xf numFmtId="0" fontId="26" fillId="2" borderId="1" xfId="0" applyFont="1" applyFill="1" applyBorder="1" applyAlignment="1">
      <alignment vertical="center" readingOrder="2"/>
    </xf>
    <xf numFmtId="0" fontId="26" fillId="2" borderId="2" xfId="0" applyFont="1" applyFill="1" applyBorder="1" applyAlignment="1">
      <alignment vertical="center" readingOrder="2"/>
    </xf>
    <xf numFmtId="0" fontId="26" fillId="2" borderId="3" xfId="0" applyFont="1" applyFill="1" applyBorder="1" applyAlignment="1">
      <alignment vertical="center" readingOrder="2"/>
    </xf>
    <xf numFmtId="0" fontId="23" fillId="0" borderId="2" xfId="0" applyFont="1" applyBorder="1" applyAlignment="1">
      <alignment horizontal="center" vertical="center" readingOrder="2"/>
    </xf>
    <xf numFmtId="0" fontId="26" fillId="2" borderId="15" xfId="0" applyFont="1" applyFill="1" applyBorder="1" applyAlignment="1" applyProtection="1">
      <alignment horizontal="right" vertical="center" wrapText="1" readingOrder="2"/>
      <protection locked="0"/>
    </xf>
    <xf numFmtId="0" fontId="25" fillId="7" borderId="0" xfId="0" applyFont="1" applyFill="1" applyAlignment="1">
      <alignment vertical="center" readingOrder="2"/>
    </xf>
    <xf numFmtId="0" fontId="26" fillId="0" borderId="9" xfId="0" applyFont="1" applyBorder="1" applyAlignment="1">
      <alignment horizontal="right" vertical="center" readingOrder="2"/>
    </xf>
    <xf numFmtId="0" fontId="26" fillId="0" borderId="10" xfId="0" applyFont="1" applyBorder="1" applyAlignment="1">
      <alignment horizontal="right" vertical="center" readingOrder="2"/>
    </xf>
    <xf numFmtId="0" fontId="26" fillId="0" borderId="7" xfId="0" applyFont="1" applyBorder="1" applyAlignment="1">
      <alignment horizontal="right" vertical="center" readingOrder="2"/>
    </xf>
    <xf numFmtId="0" fontId="26" fillId="0" borderId="2" xfId="0" applyFont="1" applyBorder="1" applyAlignment="1">
      <alignment horizontal="left" vertical="top" wrapText="1" readingOrder="2"/>
    </xf>
    <xf numFmtId="0" fontId="23" fillId="0" borderId="17" xfId="0" applyFont="1" applyBorder="1" applyAlignment="1">
      <alignment horizontal="right" vertical="center" readingOrder="2"/>
    </xf>
    <xf numFmtId="0" fontId="23" fillId="0" borderId="15" xfId="0" applyFont="1" applyBorder="1" applyAlignment="1">
      <alignment horizontal="right" vertical="center" readingOrder="2"/>
    </xf>
    <xf numFmtId="0" fontId="26" fillId="7" borderId="5" xfId="0" applyFont="1" applyFill="1" applyBorder="1" applyAlignment="1" applyProtection="1">
      <alignment horizontal="right" vertical="center" readingOrder="2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269507</xdr:colOff>
      <xdr:row>110</xdr:row>
      <xdr:rowOff>105949</xdr:rowOff>
    </xdr:from>
    <xdr:ext cx="65" cy="19185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D1A7991-3DDC-479D-82C2-C928BFA1A7C1}"/>
            </a:ext>
          </a:extLst>
        </xdr:cNvPr>
        <xdr:cNvSpPr txBox="1"/>
      </xdr:nvSpPr>
      <xdr:spPr>
        <a:xfrm>
          <a:off x="153279094" y="29586703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12</xdr:col>
      <xdr:colOff>3829</xdr:colOff>
      <xdr:row>83</xdr:row>
      <xdr:rowOff>2930</xdr:rowOff>
    </xdr:from>
    <xdr:ext cx="941612" cy="190188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3DCE18D-9CB6-454C-B1FB-129925CD8E98}"/>
            </a:ext>
          </a:extLst>
        </xdr:cNvPr>
        <xdr:cNvSpPr txBox="1"/>
      </xdr:nvSpPr>
      <xdr:spPr>
        <a:xfrm flipH="1" flipV="1">
          <a:off x="169383075" y="19250024"/>
          <a:ext cx="285145" cy="1524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1" anchor="t">
          <a:noAutofit/>
        </a:bodyPr>
        <a:lstStyle/>
        <a:p>
          <a:endParaRPr lang="he-IL"/>
        </a:p>
      </xdr:txBody>
    </xdr:sp>
    <xdr:clientData/>
  </xdr:oneCellAnchor>
  <xdr:oneCellAnchor>
    <xdr:from>
      <xdr:col>12</xdr:col>
      <xdr:colOff>115</xdr:colOff>
      <xdr:row>79</xdr:row>
      <xdr:rowOff>145732</xdr:rowOff>
    </xdr:from>
    <xdr:ext cx="65" cy="16584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3138FD-9BE7-4A39-B6C3-5BA433401B48}"/>
            </a:ext>
          </a:extLst>
        </xdr:cNvPr>
        <xdr:cNvSpPr txBox="1"/>
      </xdr:nvSpPr>
      <xdr:spPr>
        <a:xfrm>
          <a:off x="148199295" y="216874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12</xdr:col>
      <xdr:colOff>472801</xdr:colOff>
      <xdr:row>68</xdr:row>
      <xdr:rowOff>23812</xdr:rowOff>
    </xdr:from>
    <xdr:ext cx="65" cy="18917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58AA18-12BA-4899-B80F-D7EF6ACAEAF4}"/>
            </a:ext>
          </a:extLst>
        </xdr:cNvPr>
        <xdr:cNvSpPr txBox="1"/>
      </xdr:nvSpPr>
      <xdr:spPr>
        <a:xfrm>
          <a:off x="147938064" y="188261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twoCellAnchor editAs="oneCell">
    <xdr:from>
      <xdr:col>4</xdr:col>
      <xdr:colOff>1219200</xdr:colOff>
      <xdr:row>83</xdr:row>
      <xdr:rowOff>57150</xdr:rowOff>
    </xdr:from>
    <xdr:to>
      <xdr:col>5</xdr:col>
      <xdr:colOff>0</xdr:colOff>
      <xdr:row>84</xdr:row>
      <xdr:rowOff>0</xdr:rowOff>
    </xdr:to>
    <xdr:sp macro="" textlink="">
      <xdr:nvSpPr>
        <xdr:cNvPr id="7002" name="TextBox 6">
          <a:extLst>
            <a:ext uri="{FF2B5EF4-FFF2-40B4-BE49-F238E27FC236}">
              <a16:creationId xmlns:a16="http://schemas.microsoft.com/office/drawing/2014/main" id="{7938AF0B-393A-41BF-A012-465CEE56AEAC}"/>
            </a:ext>
          </a:extLst>
        </xdr:cNvPr>
        <xdr:cNvSpPr txBox="1">
          <a:spLocks noChangeArrowheads="1"/>
        </xdr:cNvSpPr>
      </xdr:nvSpPr>
      <xdr:spPr bwMode="auto">
        <a:xfrm flipH="1">
          <a:off x="174339250" y="22891750"/>
          <a:ext cx="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425450</xdr:colOff>
      <xdr:row>82</xdr:row>
      <xdr:rowOff>95250</xdr:rowOff>
    </xdr:from>
    <xdr:to>
      <xdr:col>12</xdr:col>
      <xdr:colOff>0</xdr:colOff>
      <xdr:row>83</xdr:row>
      <xdr:rowOff>0</xdr:rowOff>
    </xdr:to>
    <xdr:pic>
      <xdr:nvPicPr>
        <xdr:cNvPr id="7003" name="תמונה 8">
          <a:extLst>
            <a:ext uri="{FF2B5EF4-FFF2-40B4-BE49-F238E27FC236}">
              <a16:creationId xmlns:a16="http://schemas.microsoft.com/office/drawing/2014/main" id="{21E47D09-2DFE-423B-8F4D-77141BD4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67200" y="22663150"/>
          <a:ext cx="25654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762000</xdr:colOff>
      <xdr:row>83</xdr:row>
      <xdr:rowOff>76200</xdr:rowOff>
    </xdr:from>
    <xdr:to>
      <xdr:col>4</xdr:col>
      <xdr:colOff>425450</xdr:colOff>
      <xdr:row>84</xdr:row>
      <xdr:rowOff>0</xdr:rowOff>
    </xdr:to>
    <xdr:pic>
      <xdr:nvPicPr>
        <xdr:cNvPr id="7004" name="תמונה 9">
          <a:extLst>
            <a:ext uri="{FF2B5EF4-FFF2-40B4-BE49-F238E27FC236}">
              <a16:creationId xmlns:a16="http://schemas.microsoft.com/office/drawing/2014/main" id="{E615F9FE-A782-41B0-9F3D-C83866528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75800" y="22910800"/>
          <a:ext cx="54610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12</xdr:col>
      <xdr:colOff>115</xdr:colOff>
      <xdr:row>79</xdr:row>
      <xdr:rowOff>145732</xdr:rowOff>
    </xdr:from>
    <xdr:ext cx="65" cy="165848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41FD466-8505-4B32-AAD5-D4FB8C53049B}"/>
            </a:ext>
          </a:extLst>
        </xdr:cNvPr>
        <xdr:cNvSpPr txBox="1"/>
      </xdr:nvSpPr>
      <xdr:spPr>
        <a:xfrm>
          <a:off x="148199295" y="2168747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115</xdr:row>
      <xdr:rowOff>92614</xdr:rowOff>
    </xdr:from>
    <xdr:ext cx="65" cy="20757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7B67BBB-88EF-4AF3-A0FE-AE4913B112F2}"/>
            </a:ext>
          </a:extLst>
        </xdr:cNvPr>
        <xdr:cNvSpPr txBox="1"/>
      </xdr:nvSpPr>
      <xdr:spPr>
        <a:xfrm>
          <a:off x="153279094" y="3051868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12</xdr:col>
      <xdr:colOff>115</xdr:colOff>
      <xdr:row>94</xdr:row>
      <xdr:rowOff>149542</xdr:rowOff>
    </xdr:from>
    <xdr:ext cx="65" cy="29122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17D74AC-8518-417D-ACDC-1886E6DF8A71}"/>
            </a:ext>
          </a:extLst>
        </xdr:cNvPr>
        <xdr:cNvSpPr txBox="1"/>
      </xdr:nvSpPr>
      <xdr:spPr>
        <a:xfrm>
          <a:off x="148199295" y="255165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12</xdr:col>
      <xdr:colOff>115</xdr:colOff>
      <xdr:row>94</xdr:row>
      <xdr:rowOff>149542</xdr:rowOff>
    </xdr:from>
    <xdr:ext cx="65" cy="29122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8F941C2-00BA-4CE8-8D8A-069465C97B24}"/>
            </a:ext>
          </a:extLst>
        </xdr:cNvPr>
        <xdr:cNvSpPr txBox="1"/>
      </xdr:nvSpPr>
      <xdr:spPr>
        <a:xfrm>
          <a:off x="148199295" y="2551652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286652</xdr:colOff>
      <xdr:row>116</xdr:row>
      <xdr:rowOff>90709</xdr:rowOff>
    </xdr:from>
    <xdr:ext cx="65" cy="17669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8998415-1AED-4D87-868A-04261A1DADE8}"/>
            </a:ext>
          </a:extLst>
        </xdr:cNvPr>
        <xdr:cNvSpPr txBox="1"/>
      </xdr:nvSpPr>
      <xdr:spPr>
        <a:xfrm>
          <a:off x="169362423" y="39630889"/>
          <a:ext cx="65" cy="181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111</xdr:row>
      <xdr:rowOff>142144</xdr:rowOff>
    </xdr:from>
    <xdr:ext cx="65" cy="1727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E0B5317-AFE9-423B-A931-57B27C5E58B4}"/>
            </a:ext>
          </a:extLst>
        </xdr:cNvPr>
        <xdr:cNvSpPr txBox="1"/>
      </xdr:nvSpPr>
      <xdr:spPr>
        <a:xfrm>
          <a:off x="153693798" y="2975727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116</xdr:row>
      <xdr:rowOff>105949</xdr:rowOff>
    </xdr:from>
    <xdr:ext cx="65" cy="20640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A8480C4-5F3F-41E7-9A1C-0334AB6769D3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111</xdr:row>
      <xdr:rowOff>142144</xdr:rowOff>
    </xdr:from>
    <xdr:ext cx="65" cy="172705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8842728-28AA-432A-AA7B-3BD8866B5A08}"/>
            </a:ext>
          </a:extLst>
        </xdr:cNvPr>
        <xdr:cNvSpPr txBox="1"/>
      </xdr:nvSpPr>
      <xdr:spPr>
        <a:xfrm>
          <a:off x="153693798" y="29757274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116</xdr:row>
      <xdr:rowOff>105949</xdr:rowOff>
    </xdr:from>
    <xdr:ext cx="65" cy="206401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83D9D5E-1A43-426D-A7C5-28276DC8F479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286652</xdr:colOff>
      <xdr:row>116</xdr:row>
      <xdr:rowOff>90709</xdr:rowOff>
    </xdr:from>
    <xdr:ext cx="65" cy="17669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81A462C-C8BC-4C25-9208-E3CFC22DE69E}"/>
            </a:ext>
          </a:extLst>
        </xdr:cNvPr>
        <xdr:cNvSpPr txBox="1"/>
      </xdr:nvSpPr>
      <xdr:spPr>
        <a:xfrm>
          <a:off x="169362423" y="38611714"/>
          <a:ext cx="65" cy="1818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116</xdr:row>
      <xdr:rowOff>105949</xdr:rowOff>
    </xdr:from>
    <xdr:ext cx="65" cy="206401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CCB8931-4F74-48C0-8125-8CA4F47BC0A8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269507</xdr:colOff>
      <xdr:row>116</xdr:row>
      <xdr:rowOff>105949</xdr:rowOff>
    </xdr:from>
    <xdr:ext cx="65" cy="206401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00987EB-E7C8-4A58-BD48-42D379A2252F}"/>
            </a:ext>
          </a:extLst>
        </xdr:cNvPr>
        <xdr:cNvSpPr txBox="1"/>
      </xdr:nvSpPr>
      <xdr:spPr>
        <a:xfrm>
          <a:off x="15327909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  <xdr:oneCellAnchor>
    <xdr:from>
      <xdr:col>10</xdr:col>
      <xdr:colOff>256172</xdr:colOff>
      <xdr:row>116</xdr:row>
      <xdr:rowOff>105949</xdr:rowOff>
    </xdr:from>
    <xdr:ext cx="65" cy="206401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D627B6C-0070-4C85-9432-A3078E2EC46F}"/>
            </a:ext>
          </a:extLst>
        </xdr:cNvPr>
        <xdr:cNvSpPr txBox="1"/>
      </xdr:nvSpPr>
      <xdr:spPr>
        <a:xfrm>
          <a:off x="153286714" y="3070039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1" anchor="t">
          <a:spAutoFit/>
        </a:bodyPr>
        <a:lstStyle/>
        <a:p>
          <a:endParaRPr lang="he-IL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85"/>
  <sheetViews>
    <sheetView rightToLeft="1" tabSelected="1" topLeftCell="A25" zoomScale="130" zoomScaleNormal="130" zoomScaleSheetLayoutView="130" zoomScalePageLayoutView="130" workbookViewId="0">
      <selection activeCell="A26" sqref="A26:L26"/>
    </sheetView>
  </sheetViews>
  <sheetFormatPr defaultColWidth="9" defaultRowHeight="13.8" x14ac:dyDescent="0.25"/>
  <cols>
    <col min="1" max="1" width="3.69921875" style="1" customWidth="1"/>
    <col min="2" max="2" width="9.09765625" style="1" customWidth="1"/>
    <col min="3" max="3" width="8" style="1" customWidth="1"/>
    <col min="4" max="4" width="11.59765625" style="1" customWidth="1"/>
    <col min="5" max="5" width="10" style="1" customWidth="1"/>
    <col min="6" max="7" width="8.3984375" style="1" customWidth="1"/>
    <col min="8" max="8" width="9.09765625" style="1" customWidth="1"/>
    <col min="9" max="9" width="9.69921875" style="1" customWidth="1"/>
    <col min="10" max="10" width="9" style="1" customWidth="1"/>
    <col min="11" max="11" width="6.3984375" style="1" customWidth="1"/>
    <col min="12" max="15" width="14" style="1" customWidth="1"/>
    <col min="16" max="17" width="14.69921875" style="1" customWidth="1"/>
    <col min="18" max="16384" width="9" style="1"/>
  </cols>
  <sheetData>
    <row r="1" spans="1:12" ht="35.25" customHeight="1" x14ac:dyDescent="0.25">
      <c r="A1" s="224" t="s">
        <v>195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</row>
    <row r="2" spans="1:12" ht="41.25" customHeight="1" x14ac:dyDescent="0.25">
      <c r="A2" s="2"/>
      <c r="B2" s="2"/>
      <c r="C2" s="2"/>
      <c r="D2" s="2"/>
      <c r="F2" s="3" t="s">
        <v>0</v>
      </c>
      <c r="G2" s="225"/>
      <c r="H2" s="225"/>
      <c r="I2" s="291" t="s">
        <v>74</v>
      </c>
      <c r="J2" s="291"/>
      <c r="K2" s="291"/>
      <c r="L2" s="20"/>
    </row>
    <row r="3" spans="1:12" ht="18.75" customHeight="1" x14ac:dyDescent="0.25">
      <c r="A3" s="4" t="s">
        <v>1</v>
      </c>
      <c r="B3" s="5"/>
      <c r="C3" s="6">
        <v>1</v>
      </c>
      <c r="D3" s="5" t="s">
        <v>2</v>
      </c>
      <c r="E3" s="5"/>
      <c r="F3" s="5"/>
      <c r="G3" s="5"/>
      <c r="H3" s="5"/>
      <c r="I3" s="72"/>
      <c r="J3" s="456" t="s">
        <v>126</v>
      </c>
      <c r="K3" s="456"/>
      <c r="L3" s="103">
        <f ca="1">(TODAY())</f>
        <v>46036</v>
      </c>
    </row>
    <row r="4" spans="1:12" ht="27.75" customHeight="1" x14ac:dyDescent="0.25">
      <c r="A4" s="463" t="s">
        <v>3</v>
      </c>
      <c r="B4" s="464"/>
      <c r="C4" s="457" t="s">
        <v>211</v>
      </c>
      <c r="D4" s="457"/>
      <c r="E4" s="457"/>
      <c r="F4" s="457"/>
      <c r="G4" s="457"/>
      <c r="H4" s="457"/>
      <c r="I4" s="457"/>
      <c r="J4" s="244" t="s">
        <v>176</v>
      </c>
      <c r="K4" s="244"/>
      <c r="L4" s="73">
        <v>140407</v>
      </c>
    </row>
    <row r="5" spans="1:12" ht="6.7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customHeight="1" x14ac:dyDescent="0.25">
      <c r="A6" s="226" t="s">
        <v>5</v>
      </c>
      <c r="B6" s="226"/>
      <c r="C6" s="226"/>
      <c r="D6" s="226"/>
      <c r="E6" s="226"/>
      <c r="F6" s="2"/>
      <c r="G6" s="2"/>
      <c r="H6" s="2"/>
      <c r="I6" s="2"/>
      <c r="J6" s="2"/>
      <c r="K6" s="2"/>
      <c r="L6" s="2"/>
    </row>
    <row r="7" spans="1:12" ht="18.75" customHeight="1" x14ac:dyDescent="0.25">
      <c r="A7" s="2" t="s">
        <v>6</v>
      </c>
      <c r="B7" s="2"/>
      <c r="C7" s="429" t="s">
        <v>210</v>
      </c>
      <c r="D7" s="430"/>
      <c r="E7" s="430"/>
      <c r="F7" s="430"/>
      <c r="G7" s="430"/>
      <c r="H7" s="431"/>
      <c r="I7" s="108"/>
      <c r="J7" s="108"/>
      <c r="K7" s="108"/>
      <c r="L7" s="108"/>
    </row>
    <row r="8" spans="1:12" s="7" customFormat="1" ht="18.75" customHeight="1" x14ac:dyDescent="0.25">
      <c r="A8" s="276" t="s">
        <v>7</v>
      </c>
      <c r="B8" s="276"/>
      <c r="I8" s="428" t="s">
        <v>178</v>
      </c>
      <c r="J8" s="428"/>
      <c r="K8" s="432" t="s">
        <v>212</v>
      </c>
      <c r="L8" s="433"/>
    </row>
    <row r="9" spans="1:12" ht="18.75" customHeight="1" x14ac:dyDescent="0.25">
      <c r="A9" s="2" t="s">
        <v>8</v>
      </c>
      <c r="B9" s="2"/>
      <c r="C9" s="277" t="s">
        <v>211</v>
      </c>
      <c r="D9" s="277"/>
      <c r="E9" s="277"/>
      <c r="F9" s="277"/>
      <c r="G9" s="277"/>
      <c r="H9" s="277"/>
      <c r="I9" s="277"/>
      <c r="J9" s="277"/>
      <c r="K9" s="277"/>
      <c r="L9" s="277"/>
    </row>
    <row r="10" spans="1:12" ht="18.75" customHeight="1" x14ac:dyDescent="0.25">
      <c r="A10" s="410" t="s">
        <v>58</v>
      </c>
      <c r="B10" s="410"/>
      <c r="C10" s="410"/>
      <c r="D10" s="465" t="s">
        <v>193</v>
      </c>
      <c r="E10" s="465"/>
      <c r="F10" s="465"/>
      <c r="G10" s="295"/>
      <c r="H10" s="295"/>
      <c r="I10" s="295"/>
      <c r="J10" s="248"/>
      <c r="K10" s="248"/>
      <c r="L10" s="248"/>
    </row>
    <row r="11" spans="1:12" ht="18" customHeight="1" x14ac:dyDescent="0.25">
      <c r="A11" s="226"/>
      <c r="B11" s="226"/>
      <c r="C11" s="226"/>
      <c r="D11" s="226"/>
      <c r="E11" s="226"/>
      <c r="F11" s="2"/>
      <c r="G11" s="2"/>
      <c r="H11" s="2"/>
      <c r="I11" s="2"/>
      <c r="J11" s="2"/>
      <c r="K11" s="2"/>
      <c r="L11" s="2"/>
    </row>
    <row r="12" spans="1:12" ht="18.75" customHeight="1" x14ac:dyDescent="0.25">
      <c r="A12" s="206" t="s">
        <v>61</v>
      </c>
      <c r="B12" s="207"/>
      <c r="C12" s="305" t="s">
        <v>213</v>
      </c>
      <c r="D12" s="125"/>
      <c r="E12" s="125"/>
      <c r="F12" s="125"/>
      <c r="G12" s="125"/>
      <c r="H12" s="125"/>
      <c r="I12" s="125"/>
      <c r="J12" s="125"/>
      <c r="K12" s="125"/>
      <c r="L12" s="306"/>
    </row>
    <row r="13" spans="1:12" ht="18.75" customHeight="1" x14ac:dyDescent="0.25">
      <c r="A13" s="236" t="s">
        <v>149</v>
      </c>
      <c r="B13" s="237"/>
      <c r="C13" s="238"/>
      <c r="D13" s="453" t="s">
        <v>208</v>
      </c>
      <c r="E13" s="454"/>
      <c r="F13" s="454"/>
      <c r="G13" s="454"/>
      <c r="H13" s="454"/>
      <c r="I13" s="454"/>
      <c r="J13" s="454"/>
      <c r="K13" s="454"/>
      <c r="L13" s="455"/>
    </row>
    <row r="14" spans="1:12" ht="18.75" customHeight="1" x14ac:dyDescent="0.25">
      <c r="A14" s="236" t="s">
        <v>9</v>
      </c>
      <c r="B14" s="238"/>
      <c r="C14" s="459" t="s">
        <v>214</v>
      </c>
      <c r="D14" s="460"/>
      <c r="E14" s="460"/>
      <c r="F14" s="460"/>
      <c r="G14" s="460"/>
      <c r="H14" s="460"/>
      <c r="I14" s="460"/>
      <c r="J14" s="460"/>
      <c r="K14" s="460"/>
      <c r="L14" s="461"/>
    </row>
    <row r="15" spans="1:12" ht="18" customHeight="1" x14ac:dyDescent="0.25">
      <c r="A15" s="462" t="s">
        <v>150</v>
      </c>
      <c r="B15" s="462"/>
      <c r="C15" s="81" t="s">
        <v>198</v>
      </c>
      <c r="D15" s="307" t="s">
        <v>151</v>
      </c>
      <c r="E15" s="307"/>
      <c r="F15" s="99"/>
      <c r="G15" s="227"/>
      <c r="H15" s="227"/>
      <c r="I15" s="227"/>
      <c r="J15" s="227"/>
      <c r="K15" s="227"/>
      <c r="L15" s="227"/>
    </row>
    <row r="16" spans="1:12" ht="16.5" customHeight="1" x14ac:dyDescent="0.25">
      <c r="B16" s="2"/>
      <c r="C16" s="82" t="s">
        <v>198</v>
      </c>
      <c r="D16" s="77" t="s">
        <v>152</v>
      </c>
      <c r="E16" s="77"/>
      <c r="F16" s="77"/>
      <c r="G16" s="228"/>
      <c r="H16" s="228"/>
      <c r="I16" s="228"/>
      <c r="J16" s="228"/>
      <c r="K16" s="228"/>
      <c r="L16" s="228"/>
    </row>
    <row r="17" spans="1:23" ht="17.25" customHeight="1" x14ac:dyDescent="0.25">
      <c r="A17" s="451"/>
      <c r="B17" s="451"/>
      <c r="C17" s="83" t="s">
        <v>198</v>
      </c>
      <c r="D17" s="452" t="s">
        <v>153</v>
      </c>
      <c r="E17" s="452"/>
      <c r="F17" s="452"/>
      <c r="G17" s="228"/>
      <c r="H17" s="228"/>
      <c r="I17" s="228"/>
      <c r="J17" s="228"/>
      <c r="K17" s="228"/>
      <c r="L17" s="228"/>
    </row>
    <row r="18" spans="1:23" ht="18.75" customHeight="1" x14ac:dyDescent="0.25">
      <c r="A18" s="276" t="s">
        <v>194</v>
      </c>
      <c r="B18" s="276"/>
      <c r="C18" s="276"/>
      <c r="D18" s="276"/>
      <c r="E18" s="276"/>
      <c r="F18" s="276"/>
      <c r="G18" s="276"/>
      <c r="H18" s="276"/>
      <c r="I18" s="276"/>
      <c r="J18" s="276"/>
      <c r="K18" s="276"/>
      <c r="L18" s="276"/>
    </row>
    <row r="19" spans="1:23" ht="15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23" ht="15.75" customHeight="1" x14ac:dyDescent="0.25">
      <c r="A20" s="2" t="s">
        <v>10</v>
      </c>
      <c r="B20" s="2"/>
      <c r="C20" s="458" t="s">
        <v>154</v>
      </c>
      <c r="D20" s="458"/>
      <c r="E20" s="458"/>
      <c r="F20" s="458"/>
      <c r="G20" s="458"/>
      <c r="H20" s="2"/>
      <c r="I20" s="2"/>
      <c r="J20" s="2"/>
      <c r="K20" s="2"/>
      <c r="L20" s="2"/>
    </row>
    <row r="21" spans="1:23" ht="18.75" customHeight="1" x14ac:dyDescent="0.25">
      <c r="A21" s="226" t="s">
        <v>11</v>
      </c>
      <c r="B21" s="226"/>
      <c r="C21" s="226"/>
      <c r="D21" s="226"/>
      <c r="E21" s="226"/>
      <c r="F21" s="2"/>
      <c r="G21" s="2"/>
      <c r="H21" s="2"/>
      <c r="I21" s="2"/>
      <c r="J21" s="2"/>
      <c r="K21" s="2"/>
      <c r="L21" s="2"/>
    </row>
    <row r="22" spans="1:23" ht="19.5" customHeight="1" x14ac:dyDescent="0.25">
      <c r="A22" s="10" t="s">
        <v>12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23" ht="16.5" customHeight="1" x14ac:dyDescent="0.25">
      <c r="A23" s="276" t="s">
        <v>13</v>
      </c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</row>
    <row r="24" spans="1:23" ht="18.75" customHeight="1" x14ac:dyDescent="0.25">
      <c r="A24" s="276" t="s">
        <v>85</v>
      </c>
      <c r="B24" s="276"/>
      <c r="C24" s="276"/>
      <c r="D24" s="276"/>
      <c r="E24" s="276"/>
      <c r="F24" s="276"/>
      <c r="G24" s="276"/>
      <c r="H24" s="276"/>
      <c r="I24" s="276"/>
      <c r="J24" s="276"/>
      <c r="K24" s="276"/>
      <c r="L24" s="276"/>
    </row>
    <row r="25" spans="1:23" ht="18.75" customHeight="1" x14ac:dyDescent="0.25">
      <c r="A25" s="276" t="s">
        <v>155</v>
      </c>
      <c r="B25" s="276"/>
      <c r="C25" s="276"/>
      <c r="D25" s="276"/>
      <c r="E25" s="276"/>
      <c r="F25" s="276"/>
      <c r="G25" s="276"/>
      <c r="H25" s="276"/>
      <c r="I25" s="276"/>
      <c r="J25" s="276"/>
      <c r="K25" s="276"/>
      <c r="L25" s="276"/>
    </row>
    <row r="26" spans="1:23" ht="18.75" customHeight="1" x14ac:dyDescent="0.25">
      <c r="A26" s="276" t="s">
        <v>156</v>
      </c>
      <c r="B26" s="276"/>
      <c r="C26" s="276"/>
      <c r="D26" s="276"/>
      <c r="E26" s="276"/>
      <c r="F26" s="276"/>
      <c r="G26" s="276"/>
      <c r="H26" s="276"/>
      <c r="I26" s="276"/>
      <c r="J26" s="276"/>
      <c r="K26" s="276"/>
      <c r="L26" s="276"/>
    </row>
    <row r="27" spans="1:23" ht="18.75" customHeight="1" x14ac:dyDescent="0.25">
      <c r="A27" s="9" t="s">
        <v>14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11" t="s">
        <v>73</v>
      </c>
      <c r="N27" s="11" t="s">
        <v>73</v>
      </c>
    </row>
    <row r="28" spans="1:23" ht="18.75" customHeight="1" x14ac:dyDescent="0.25">
      <c r="A28" s="2" t="s">
        <v>15</v>
      </c>
      <c r="B28" s="2"/>
      <c r="C28" s="2"/>
      <c r="D28" s="2"/>
      <c r="E28" s="381" t="s">
        <v>59</v>
      </c>
      <c r="F28" s="381"/>
      <c r="G28" s="2"/>
      <c r="H28" s="2"/>
      <c r="I28" s="2"/>
      <c r="J28" s="2"/>
      <c r="K28" s="2"/>
      <c r="L28" s="2"/>
      <c r="M28" s="1" t="s">
        <v>59</v>
      </c>
      <c r="N28" s="1" t="s">
        <v>59</v>
      </c>
    </row>
    <row r="29" spans="1:23" ht="18.75" customHeight="1" x14ac:dyDescent="0.25">
      <c r="A29" s="2" t="s">
        <v>16</v>
      </c>
      <c r="B29" s="2"/>
      <c r="C29" s="2"/>
      <c r="D29" s="2"/>
      <c r="E29" s="381" t="s">
        <v>72</v>
      </c>
      <c r="F29" s="381"/>
      <c r="G29" s="410"/>
      <c r="H29" s="410"/>
      <c r="I29" s="93"/>
      <c r="J29" s="93"/>
      <c r="K29" s="93"/>
      <c r="L29" s="93"/>
      <c r="M29" s="1" t="s">
        <v>60</v>
      </c>
      <c r="N29" s="1" t="s">
        <v>60</v>
      </c>
      <c r="O29" s="74"/>
      <c r="P29" s="74"/>
      <c r="Q29" s="74"/>
      <c r="R29" s="74"/>
      <c r="S29" s="74"/>
      <c r="T29" s="74"/>
      <c r="U29" s="74"/>
      <c r="V29" s="74"/>
      <c r="W29" s="74"/>
    </row>
    <row r="30" spans="1:23" ht="15" customHeight="1" x14ac:dyDescent="0.25">
      <c r="A30" s="2" t="s">
        <v>17</v>
      </c>
      <c r="B30" s="2"/>
      <c r="C30" s="2"/>
      <c r="D30" s="2"/>
      <c r="E30" s="381" t="s">
        <v>71</v>
      </c>
      <c r="F30" s="381"/>
      <c r="G30" s="410"/>
      <c r="H30" s="410"/>
      <c r="I30" s="2"/>
      <c r="J30" s="2"/>
      <c r="K30" s="2"/>
      <c r="L30" s="2"/>
      <c r="M30" s="1" t="s">
        <v>71</v>
      </c>
      <c r="N30" s="1" t="s">
        <v>71</v>
      </c>
    </row>
    <row r="31" spans="1:23" ht="17.25" customHeight="1" x14ac:dyDescent="0.25">
      <c r="A31" s="410" t="s">
        <v>157</v>
      </c>
      <c r="B31" s="410"/>
      <c r="C31" s="410"/>
      <c r="D31" s="410"/>
      <c r="E31" s="381" t="s">
        <v>59</v>
      </c>
      <c r="F31" s="381"/>
      <c r="G31" s="410"/>
      <c r="H31" s="410"/>
      <c r="I31" s="2"/>
      <c r="J31" s="2"/>
      <c r="K31" s="2"/>
      <c r="L31" s="2"/>
      <c r="M31" s="1" t="s">
        <v>72</v>
      </c>
      <c r="N31" s="1" t="s">
        <v>72</v>
      </c>
      <c r="O31" s="11"/>
    </row>
    <row r="32" spans="1:23" ht="26.25" customHeight="1" x14ac:dyDescent="0.25">
      <c r="A32" s="75" t="s">
        <v>62</v>
      </c>
      <c r="B32" s="75"/>
      <c r="C32" s="94"/>
      <c r="D32" s="76"/>
      <c r="E32" s="421" t="s">
        <v>216</v>
      </c>
      <c r="F32" s="421"/>
      <c r="G32" s="421"/>
      <c r="H32" s="421"/>
      <c r="I32" s="421"/>
      <c r="J32" s="421"/>
      <c r="K32" s="421"/>
      <c r="L32" s="421"/>
      <c r="M32" s="11"/>
      <c r="N32" s="427" t="s">
        <v>75</v>
      </c>
      <c r="O32" s="427"/>
      <c r="P32" s="427"/>
    </row>
    <row r="33" spans="1:22" ht="15" customHeight="1" x14ac:dyDescent="0.25">
      <c r="A33" s="8"/>
      <c r="B33" s="8"/>
      <c r="C33" s="117" t="str">
        <f>IF(E37=M38,N33,"")</f>
        <v/>
      </c>
      <c r="D33" s="117"/>
      <c r="E33" s="117"/>
      <c r="F33" s="117"/>
      <c r="G33" s="117"/>
      <c r="H33" s="117"/>
      <c r="I33" s="117"/>
      <c r="J33" s="117"/>
      <c r="K33" s="117"/>
      <c r="L33" s="117"/>
      <c r="M33" s="11"/>
      <c r="N33" s="426" t="s">
        <v>177</v>
      </c>
      <c r="O33" s="426"/>
      <c r="P33" s="426"/>
      <c r="Q33" s="426"/>
      <c r="R33" s="426"/>
      <c r="S33" s="426"/>
      <c r="T33" s="426"/>
      <c r="U33" s="426"/>
      <c r="V33" s="426"/>
    </row>
    <row r="34" spans="1:22" ht="28.5" customHeight="1" x14ac:dyDescent="0.25">
      <c r="A34" s="109"/>
      <c r="B34" s="10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11"/>
      <c r="N34" s="11"/>
      <c r="O34" s="11"/>
    </row>
    <row r="35" spans="1:22" ht="30.6" customHeight="1" x14ac:dyDescent="0.25">
      <c r="A35" s="110"/>
      <c r="B35" s="11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11"/>
      <c r="N35" s="11"/>
      <c r="O35" s="11"/>
    </row>
    <row r="36" spans="1:22" ht="15" customHeight="1" x14ac:dyDescent="0.25">
      <c r="A36" s="447"/>
      <c r="B36" s="448"/>
      <c r="C36" s="96"/>
      <c r="D36" s="96"/>
      <c r="E36" s="96"/>
      <c r="F36" s="96"/>
      <c r="G36" s="96"/>
      <c r="H36" s="96"/>
      <c r="I36" s="96"/>
      <c r="J36" s="96"/>
      <c r="K36" s="96"/>
      <c r="L36" s="97"/>
      <c r="M36" s="11"/>
      <c r="N36" s="11"/>
      <c r="O36" s="11"/>
    </row>
    <row r="37" spans="1:22" ht="20.25" customHeight="1" x14ac:dyDescent="0.25">
      <c r="A37" s="374" t="s">
        <v>18</v>
      </c>
      <c r="B37" s="375"/>
      <c r="C37" s="371" t="s">
        <v>19</v>
      </c>
      <c r="D37" s="371"/>
      <c r="E37" s="87" t="str">
        <f>IF(OR(($E28=$M$29),OR($E29=$M$29),OR($E30=$M$29),OR($E31=$M$29)),$M38,$M$37)</f>
        <v>עומד</v>
      </c>
      <c r="F37" s="376" t="s">
        <v>190</v>
      </c>
      <c r="G37" s="376"/>
      <c r="H37" s="376"/>
      <c r="I37" s="376"/>
      <c r="J37" s="376"/>
      <c r="K37" s="95"/>
      <c r="L37" s="98"/>
      <c r="M37" s="1" t="s">
        <v>56</v>
      </c>
    </row>
    <row r="38" spans="1:22" ht="18.75" customHeight="1" x14ac:dyDescent="0.25">
      <c r="A38" s="88" t="s">
        <v>20</v>
      </c>
      <c r="B38" s="89"/>
      <c r="C38" s="90"/>
      <c r="D38" s="124" t="s">
        <v>197</v>
      </c>
      <c r="E38" s="125"/>
      <c r="F38" s="125"/>
      <c r="G38" s="125"/>
      <c r="H38" s="125"/>
      <c r="I38" s="101"/>
      <c r="J38" s="126" t="s">
        <v>196</v>
      </c>
      <c r="K38" s="126"/>
      <c r="L38" s="102">
        <f ca="1">TODAY()</f>
        <v>46036</v>
      </c>
      <c r="M38" s="1" t="s">
        <v>57</v>
      </c>
    </row>
    <row r="39" spans="1:22" ht="18.75" customHeight="1" x14ac:dyDescent="0.25">
      <c r="A39" s="236" t="s">
        <v>21</v>
      </c>
      <c r="B39" s="237"/>
      <c r="C39" s="238"/>
      <c r="D39" s="91" t="s">
        <v>148</v>
      </c>
      <c r="E39" s="92"/>
      <c r="F39" s="92"/>
      <c r="G39" s="92"/>
      <c r="H39" s="92"/>
      <c r="I39" s="92"/>
      <c r="J39" s="92" t="s">
        <v>22</v>
      </c>
      <c r="K39" s="244"/>
      <c r="L39" s="245"/>
    </row>
    <row r="40" spans="1:22" x14ac:dyDescent="0.25">
      <c r="A40" s="442" t="s">
        <v>179</v>
      </c>
      <c r="B40" s="443"/>
      <c r="C40" s="443"/>
      <c r="D40" s="443"/>
      <c r="E40" s="443"/>
      <c r="F40" s="443"/>
      <c r="G40" s="443"/>
      <c r="H40" s="443"/>
      <c r="I40" s="443"/>
      <c r="J40" s="443"/>
      <c r="K40" s="443"/>
      <c r="L40" s="443"/>
    </row>
    <row r="41" spans="1:22" x14ac:dyDescent="0.25">
      <c r="A41" s="444"/>
      <c r="B41" s="444"/>
      <c r="C41" s="444"/>
      <c r="D41" s="444"/>
      <c r="E41" s="444"/>
      <c r="F41" s="444"/>
      <c r="G41" s="444"/>
      <c r="H41" s="444"/>
      <c r="I41" s="444"/>
      <c r="J41" s="444"/>
      <c r="K41" s="444"/>
      <c r="L41" s="444"/>
    </row>
    <row r="42" spans="1:22" x14ac:dyDescent="0.25">
      <c r="A42" s="444"/>
      <c r="B42" s="444"/>
      <c r="C42" s="444"/>
      <c r="D42" s="444"/>
      <c r="E42" s="444"/>
      <c r="F42" s="444"/>
      <c r="G42" s="444"/>
      <c r="H42" s="444"/>
      <c r="I42" s="444"/>
      <c r="J42" s="444"/>
      <c r="K42" s="444"/>
      <c r="L42" s="444"/>
    </row>
    <row r="43" spans="1:22" ht="15.75" customHeight="1" x14ac:dyDescent="0.25">
      <c r="A43" s="444"/>
      <c r="B43" s="444"/>
      <c r="C43" s="444"/>
      <c r="D43" s="444"/>
      <c r="E43" s="444"/>
      <c r="F43" s="444"/>
      <c r="G43" s="444"/>
      <c r="H43" s="444"/>
      <c r="I43" s="444"/>
      <c r="J43" s="444"/>
      <c r="K43" s="444"/>
      <c r="L43" s="444"/>
    </row>
    <row r="44" spans="1:22" ht="37.5" customHeight="1" x14ac:dyDescent="0.25">
      <c r="A44" s="444"/>
      <c r="B44" s="444"/>
      <c r="C44" s="444"/>
      <c r="D44" s="444"/>
      <c r="E44" s="444"/>
      <c r="F44" s="444"/>
      <c r="G44" s="444"/>
      <c r="H44" s="444"/>
      <c r="I44" s="444"/>
      <c r="J44" s="444"/>
      <c r="K44" s="444"/>
      <c r="L44" s="444"/>
    </row>
    <row r="45" spans="1:22" ht="3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22" ht="15" hidden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22" ht="31.2" customHeight="1" x14ac:dyDescent="0.25">
      <c r="A47" s="224" t="s">
        <v>195</v>
      </c>
      <c r="B47" s="224"/>
      <c r="C47" s="224"/>
      <c r="D47" s="224"/>
      <c r="E47" s="224"/>
      <c r="F47" s="224"/>
      <c r="G47" s="224"/>
      <c r="H47" s="224"/>
      <c r="I47" s="224"/>
      <c r="J47" s="224"/>
      <c r="K47" s="224"/>
      <c r="L47" s="224"/>
    </row>
    <row r="48" spans="1:22" ht="18.75" customHeight="1" x14ac:dyDescent="0.25">
      <c r="A48" s="2"/>
      <c r="B48" s="2"/>
      <c r="C48" s="2"/>
      <c r="D48" s="2"/>
      <c r="F48" s="3" t="s">
        <v>0</v>
      </c>
      <c r="G48" s="204">
        <f>G2</f>
        <v>0</v>
      </c>
      <c r="H48" s="204"/>
      <c r="J48" s="2"/>
      <c r="K48" s="2"/>
      <c r="L48" s="2"/>
    </row>
    <row r="49" spans="1:12" ht="27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8" customHeight="1" x14ac:dyDescent="0.25">
      <c r="A50" s="4" t="s">
        <v>1</v>
      </c>
      <c r="B50" s="5"/>
      <c r="C50" s="6">
        <v>2</v>
      </c>
      <c r="D50" s="5" t="s">
        <v>2</v>
      </c>
      <c r="E50" s="5"/>
      <c r="F50" s="5"/>
      <c r="G50" s="5"/>
      <c r="H50" s="5"/>
      <c r="I50" s="5"/>
      <c r="J50" s="278" t="str">
        <f>J3</f>
        <v>תאריך בדיקה:</v>
      </c>
      <c r="K50" s="278"/>
      <c r="L50" s="84">
        <f ca="1">L3</f>
        <v>46036</v>
      </c>
    </row>
    <row r="51" spans="1:12" ht="17.25" customHeight="1" x14ac:dyDescent="0.25">
      <c r="A51" s="279" t="s">
        <v>3</v>
      </c>
      <c r="B51" s="205"/>
      <c r="C51" s="258" t="str">
        <f>C4</f>
        <v>רמת השרון -  רח' גולומב 23+19</v>
      </c>
      <c r="D51" s="258"/>
      <c r="E51" s="258"/>
      <c r="F51" s="258"/>
      <c r="G51" s="258"/>
      <c r="H51" s="258"/>
      <c r="I51" s="258"/>
      <c r="J51" s="205" t="s">
        <v>4</v>
      </c>
      <c r="K51" s="205"/>
      <c r="L51" s="13">
        <f>L4</f>
        <v>140407</v>
      </c>
    </row>
    <row r="52" spans="1:12" ht="5.2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7.399999999999999" x14ac:dyDescent="0.25">
      <c r="A53" s="246" t="s">
        <v>23</v>
      </c>
      <c r="B53" s="246"/>
      <c r="C53" s="246"/>
      <c r="D53" s="246"/>
      <c r="E53" s="246"/>
      <c r="F53" s="246"/>
      <c r="G53" s="246"/>
      <c r="H53" s="246"/>
      <c r="I53" s="246"/>
      <c r="J53" s="246"/>
      <c r="K53" s="246"/>
      <c r="L53" s="246"/>
    </row>
    <row r="54" spans="1:12" ht="7.95" customHeight="1" x14ac:dyDescent="0.25">
      <c r="A54" s="267"/>
      <c r="B54" s="267"/>
      <c r="C54" s="267"/>
      <c r="D54" s="267"/>
      <c r="E54" s="267"/>
      <c r="F54" s="267"/>
      <c r="G54" s="267"/>
      <c r="H54" s="267"/>
      <c r="I54" s="267"/>
      <c r="J54" s="267"/>
      <c r="K54" s="267"/>
      <c r="L54" s="267"/>
    </row>
    <row r="55" spans="1:12" ht="21.75" customHeight="1" x14ac:dyDescent="0.25">
      <c r="A55" s="154" t="s">
        <v>24</v>
      </c>
      <c r="B55" s="154"/>
      <c r="C55" s="154" t="s">
        <v>25</v>
      </c>
      <c r="D55" s="154"/>
      <c r="E55" s="154"/>
      <c r="F55" s="154"/>
      <c r="G55" s="154"/>
      <c r="H55" s="154" t="s">
        <v>26</v>
      </c>
      <c r="I55" s="154"/>
      <c r="J55" s="154" t="s">
        <v>27</v>
      </c>
      <c r="K55" s="154"/>
      <c r="L55" s="18" t="s">
        <v>28</v>
      </c>
    </row>
    <row r="56" spans="1:12" ht="18.75" customHeight="1" x14ac:dyDescent="0.25">
      <c r="A56" s="268" t="s">
        <v>137</v>
      </c>
      <c r="B56" s="269"/>
      <c r="C56" s="254" t="s">
        <v>147</v>
      </c>
      <c r="D56" s="255"/>
      <c r="E56" s="255"/>
      <c r="F56" s="255"/>
      <c r="G56" s="256"/>
      <c r="H56" s="272" t="s">
        <v>215</v>
      </c>
      <c r="I56" s="273"/>
      <c r="J56" s="250" t="s">
        <v>59</v>
      </c>
      <c r="K56" s="251"/>
      <c r="L56" s="231"/>
    </row>
    <row r="57" spans="1:12" ht="49.5" customHeight="1" x14ac:dyDescent="0.25">
      <c r="A57" s="270"/>
      <c r="B57" s="271"/>
      <c r="C57" s="242" t="s">
        <v>76</v>
      </c>
      <c r="D57" s="205"/>
      <c r="E57" s="205"/>
      <c r="F57" s="205"/>
      <c r="G57" s="243"/>
      <c r="H57" s="274"/>
      <c r="I57" s="275"/>
      <c r="J57" s="252"/>
      <c r="K57" s="253"/>
      <c r="L57" s="232"/>
    </row>
    <row r="58" spans="1:12" ht="58.5" customHeight="1" x14ac:dyDescent="0.25">
      <c r="A58" s="257" t="s">
        <v>135</v>
      </c>
      <c r="B58" s="257"/>
      <c r="C58" s="192" t="s">
        <v>78</v>
      </c>
      <c r="D58" s="192"/>
      <c r="E58" s="192"/>
      <c r="F58" s="192"/>
      <c r="G58" s="192"/>
      <c r="H58" s="191" t="s">
        <v>199</v>
      </c>
      <c r="I58" s="191"/>
      <c r="J58" s="248" t="s">
        <v>59</v>
      </c>
      <c r="K58" s="248"/>
      <c r="L58" s="19"/>
    </row>
    <row r="59" spans="1:12" ht="44.55" customHeight="1" x14ac:dyDescent="0.25">
      <c r="A59" s="257" t="s">
        <v>136</v>
      </c>
      <c r="B59" s="257"/>
      <c r="C59" s="247" t="s">
        <v>77</v>
      </c>
      <c r="D59" s="247"/>
      <c r="E59" s="247"/>
      <c r="F59" s="247"/>
      <c r="G59" s="247"/>
      <c r="H59" s="249" t="s">
        <v>200</v>
      </c>
      <c r="I59" s="249"/>
      <c r="J59" s="248" t="s">
        <v>59</v>
      </c>
      <c r="K59" s="248"/>
      <c r="L59" s="19"/>
    </row>
    <row r="60" spans="1:12" ht="43.2" customHeight="1" x14ac:dyDescent="0.25">
      <c r="A60" s="268" t="s">
        <v>138</v>
      </c>
      <c r="B60" s="269"/>
      <c r="C60" s="377" t="s">
        <v>131</v>
      </c>
      <c r="D60" s="377"/>
      <c r="E60" s="377"/>
      <c r="F60" s="377"/>
      <c r="G60" s="377"/>
      <c r="H60" s="45"/>
      <c r="I60" s="45"/>
      <c r="J60" s="45"/>
      <c r="K60" s="45"/>
      <c r="L60" s="46"/>
    </row>
    <row r="61" spans="1:12" s="21" customFormat="1" ht="46.5" customHeight="1" x14ac:dyDescent="0.25">
      <c r="A61" s="419"/>
      <c r="B61" s="420"/>
      <c r="C61" s="378" t="s">
        <v>132</v>
      </c>
      <c r="D61" s="379"/>
      <c r="E61" s="379"/>
      <c r="F61" s="379"/>
      <c r="G61" s="380"/>
      <c r="H61" s="111" t="s">
        <v>201</v>
      </c>
      <c r="I61" s="112"/>
      <c r="J61" s="406" t="s">
        <v>71</v>
      </c>
      <c r="K61" s="407"/>
      <c r="L61" s="47"/>
    </row>
    <row r="62" spans="1:12" ht="66" customHeight="1" x14ac:dyDescent="0.25">
      <c r="A62" s="270"/>
      <c r="B62" s="271"/>
      <c r="C62" s="408" t="s">
        <v>133</v>
      </c>
      <c r="D62" s="408"/>
      <c r="E62" s="408"/>
      <c r="F62" s="408"/>
      <c r="G62" s="408"/>
      <c r="H62" s="191" t="s">
        <v>201</v>
      </c>
      <c r="I62" s="191"/>
      <c r="J62" s="235" t="s">
        <v>71</v>
      </c>
      <c r="K62" s="235"/>
      <c r="L62" s="19"/>
    </row>
    <row r="63" spans="1:12" ht="60" customHeight="1" x14ac:dyDescent="0.25">
      <c r="A63" s="257" t="s">
        <v>140</v>
      </c>
      <c r="B63" s="257"/>
      <c r="C63" s="192" t="s">
        <v>30</v>
      </c>
      <c r="D63" s="192"/>
      <c r="E63" s="192"/>
      <c r="F63" s="192"/>
      <c r="G63" s="192"/>
      <c r="H63" s="191" t="s">
        <v>199</v>
      </c>
      <c r="I63" s="191"/>
      <c r="J63" s="248" t="s">
        <v>59</v>
      </c>
      <c r="K63" s="248"/>
      <c r="L63" s="19"/>
    </row>
    <row r="64" spans="1:12" ht="15" customHeight="1" x14ac:dyDescent="0.25"/>
    <row r="65" spans="1:12" ht="14.25" customHeight="1" x14ac:dyDescent="0.25">
      <c r="A65" s="258" t="s">
        <v>88</v>
      </c>
      <c r="B65" s="258"/>
      <c r="C65" s="258"/>
      <c r="D65" s="258"/>
      <c r="E65" s="258"/>
      <c r="F65" s="258"/>
      <c r="G65" s="258"/>
      <c r="H65" s="258"/>
      <c r="I65" s="258"/>
      <c r="J65" s="60"/>
      <c r="K65" s="60"/>
      <c r="L65" s="60"/>
    </row>
    <row r="66" spans="1:12" ht="21" customHeight="1" thickBot="1" x14ac:dyDescent="0.3">
      <c r="A66" s="283" t="s">
        <v>69</v>
      </c>
      <c r="B66" s="284"/>
      <c r="C66" s="68" t="s">
        <v>201</v>
      </c>
      <c r="D66" s="27" t="s">
        <v>70</v>
      </c>
      <c r="E66" s="68" t="s">
        <v>41</v>
      </c>
      <c r="F66" s="193" t="s">
        <v>89</v>
      </c>
      <c r="G66" s="194"/>
      <c r="H66" s="105" t="s">
        <v>201</v>
      </c>
      <c r="I66" s="41" t="s">
        <v>113</v>
      </c>
      <c r="J66" s="239" t="s">
        <v>201</v>
      </c>
      <c r="K66" s="240"/>
      <c r="L66" s="241"/>
    </row>
    <row r="67" spans="1:12" ht="15" customHeight="1" thickTop="1" x14ac:dyDescent="0.25">
      <c r="A67" s="449" t="s">
        <v>34</v>
      </c>
      <c r="B67" s="450"/>
      <c r="C67" s="393" t="s">
        <v>116</v>
      </c>
      <c r="D67" s="394"/>
      <c r="E67" s="394"/>
      <c r="F67" s="394"/>
      <c r="G67" s="395"/>
      <c r="H67" s="25" t="s">
        <v>31</v>
      </c>
      <c r="I67" s="106" t="s">
        <v>41</v>
      </c>
      <c r="J67" s="197" t="s">
        <v>71</v>
      </c>
      <c r="K67" s="198"/>
      <c r="L67" s="214"/>
    </row>
    <row r="68" spans="1:12" ht="15" customHeight="1" x14ac:dyDescent="0.25">
      <c r="A68" s="391" t="s">
        <v>29</v>
      </c>
      <c r="B68" s="392"/>
      <c r="C68" s="396"/>
      <c r="D68" s="397"/>
      <c r="E68" s="397"/>
      <c r="F68" s="397"/>
      <c r="G68" s="398"/>
      <c r="H68" s="26" t="s">
        <v>117</v>
      </c>
      <c r="I68" s="49" t="s">
        <v>201</v>
      </c>
      <c r="J68" s="199"/>
      <c r="K68" s="200"/>
      <c r="L68" s="215"/>
    </row>
    <row r="69" spans="1:12" s="15" customFormat="1" ht="13.5" customHeight="1" x14ac:dyDescent="0.25">
      <c r="A69" s="384" t="s">
        <v>35</v>
      </c>
      <c r="B69" s="385"/>
      <c r="C69" s="396"/>
      <c r="D69" s="397"/>
      <c r="E69" s="397"/>
      <c r="F69" s="397"/>
      <c r="G69" s="398"/>
      <c r="H69" s="233" t="s">
        <v>203</v>
      </c>
      <c r="I69" s="234"/>
      <c r="J69" s="199"/>
      <c r="K69" s="200"/>
      <c r="L69" s="215"/>
    </row>
    <row r="70" spans="1:12" s="15" customFormat="1" ht="14.25" customHeight="1" x14ac:dyDescent="0.25">
      <c r="A70" s="382" t="s">
        <v>134</v>
      </c>
      <c r="B70" s="383"/>
      <c r="C70" s="396"/>
      <c r="D70" s="397"/>
      <c r="E70" s="397"/>
      <c r="F70" s="397"/>
      <c r="G70" s="398"/>
      <c r="H70" s="14" t="s">
        <v>33</v>
      </c>
      <c r="I70" s="104" t="s">
        <v>201</v>
      </c>
      <c r="J70" s="199"/>
      <c r="K70" s="200"/>
      <c r="L70" s="215"/>
    </row>
    <row r="71" spans="1:12" s="15" customFormat="1" ht="12.75" customHeight="1" x14ac:dyDescent="0.25">
      <c r="A71" s="382" t="s">
        <v>36</v>
      </c>
      <c r="B71" s="383"/>
      <c r="C71" s="396"/>
      <c r="D71" s="397"/>
      <c r="E71" s="397"/>
      <c r="F71" s="397"/>
      <c r="G71" s="398"/>
      <c r="H71" s="195" t="s">
        <v>32</v>
      </c>
      <c r="I71" s="372" t="s">
        <v>201</v>
      </c>
      <c r="J71" s="199"/>
      <c r="K71" s="200"/>
      <c r="L71" s="215"/>
    </row>
    <row r="72" spans="1:12" s="15" customFormat="1" ht="14.25" customHeight="1" x14ac:dyDescent="0.25">
      <c r="A72" s="138" t="s">
        <v>37</v>
      </c>
      <c r="B72" s="139"/>
      <c r="C72" s="399"/>
      <c r="D72" s="400"/>
      <c r="E72" s="400"/>
      <c r="F72" s="400"/>
      <c r="G72" s="401"/>
      <c r="H72" s="196"/>
      <c r="I72" s="373"/>
      <c r="J72" s="199"/>
      <c r="K72" s="200"/>
      <c r="L72" s="216"/>
    </row>
    <row r="73" spans="1:12" s="15" customFormat="1" ht="27.75" customHeight="1" x14ac:dyDescent="0.25">
      <c r="A73" s="415" t="s">
        <v>114</v>
      </c>
      <c r="B73" s="416"/>
      <c r="C73" s="285" t="s">
        <v>115</v>
      </c>
      <c r="D73" s="286"/>
      <c r="E73" s="286"/>
      <c r="F73" s="286"/>
      <c r="G73" s="287"/>
      <c r="H73" s="389" t="s">
        <v>41</v>
      </c>
      <c r="I73" s="390"/>
      <c r="J73" s="199"/>
      <c r="K73" s="200"/>
      <c r="L73" s="217"/>
    </row>
    <row r="74" spans="1:12" s="15" customFormat="1" ht="21.75" customHeight="1" x14ac:dyDescent="0.25">
      <c r="A74" s="417"/>
      <c r="B74" s="418"/>
      <c r="C74" s="288"/>
      <c r="D74" s="289"/>
      <c r="E74" s="289"/>
      <c r="F74" s="289"/>
      <c r="G74" s="290"/>
      <c r="H74" s="402" t="s">
        <v>41</v>
      </c>
      <c r="I74" s="403"/>
      <c r="J74" s="201"/>
      <c r="K74" s="202"/>
      <c r="L74" s="218"/>
    </row>
    <row r="75" spans="1:12" ht="27" customHeight="1" x14ac:dyDescent="0.25">
      <c r="A75" s="404" t="s">
        <v>66</v>
      </c>
      <c r="B75" s="405"/>
      <c r="C75" s="386" t="s">
        <v>64</v>
      </c>
      <c r="D75" s="387"/>
      <c r="E75" s="387"/>
      <c r="F75" s="387"/>
      <c r="G75" s="388"/>
      <c r="H75" s="402" t="s">
        <v>41</v>
      </c>
      <c r="I75" s="403"/>
      <c r="J75" s="136" t="s">
        <v>71</v>
      </c>
      <c r="K75" s="137"/>
      <c r="L75" s="19"/>
    </row>
    <row r="76" spans="1:12" ht="32.25" customHeight="1" x14ac:dyDescent="0.25">
      <c r="A76" s="404" t="s">
        <v>65</v>
      </c>
      <c r="B76" s="405"/>
      <c r="C76" s="386" t="s">
        <v>67</v>
      </c>
      <c r="D76" s="387"/>
      <c r="E76" s="387"/>
      <c r="F76" s="387"/>
      <c r="G76" s="388"/>
      <c r="H76" s="402" t="s">
        <v>41</v>
      </c>
      <c r="I76" s="403"/>
      <c r="J76" s="136" t="s">
        <v>71</v>
      </c>
      <c r="K76" s="137"/>
      <c r="L76" s="19"/>
    </row>
    <row r="77" spans="1:12" ht="38.25" customHeight="1" x14ac:dyDescent="0.25">
      <c r="A77" s="118" t="s">
        <v>181</v>
      </c>
      <c r="B77" s="118"/>
      <c r="C77" s="119" t="s">
        <v>180</v>
      </c>
      <c r="D77" s="120"/>
      <c r="E77" s="120"/>
      <c r="F77" s="120"/>
      <c r="G77" s="121"/>
      <c r="H77" s="122" t="s">
        <v>201</v>
      </c>
      <c r="I77" s="123"/>
      <c r="J77" s="136" t="s">
        <v>71</v>
      </c>
      <c r="K77" s="137"/>
      <c r="L77" s="78"/>
    </row>
    <row r="78" spans="1:12" ht="16.5" customHeight="1" x14ac:dyDescent="0.25">
      <c r="A78" s="318"/>
      <c r="B78" s="318"/>
      <c r="C78" s="318"/>
      <c r="D78" s="318"/>
      <c r="E78" s="318"/>
      <c r="F78" s="318"/>
      <c r="G78" s="318"/>
      <c r="H78" s="318"/>
      <c r="I78" s="318"/>
      <c r="J78" s="318"/>
      <c r="K78" s="318"/>
      <c r="L78" s="319"/>
    </row>
    <row r="79" spans="1:12" ht="21" customHeight="1" x14ac:dyDescent="0.25">
      <c r="A79" s="203" t="s">
        <v>139</v>
      </c>
      <c r="B79" s="203"/>
      <c r="C79" s="203"/>
      <c r="D79" s="203"/>
      <c r="E79" s="203"/>
      <c r="F79" s="436" t="s">
        <v>204</v>
      </c>
      <c r="G79" s="436"/>
      <c r="H79" s="436"/>
      <c r="I79" s="436"/>
      <c r="J79" s="437" t="s">
        <v>205</v>
      </c>
      <c r="K79" s="438"/>
      <c r="L79" s="439"/>
    </row>
    <row r="80" spans="1:12" ht="15" customHeight="1" x14ac:dyDescent="0.25">
      <c r="A80" s="368" t="s">
        <v>90</v>
      </c>
      <c r="B80" s="369"/>
      <c r="C80" s="369"/>
      <c r="D80" s="369"/>
      <c r="E80" s="369"/>
      <c r="F80" s="369"/>
      <c r="G80" s="369"/>
      <c r="H80" s="369"/>
      <c r="I80" s="369"/>
      <c r="J80" s="369"/>
      <c r="K80" s="369"/>
      <c r="L80" s="370"/>
    </row>
    <row r="81" spans="1:12" ht="15.75" customHeight="1" x14ac:dyDescent="0.25">
      <c r="A81" s="36"/>
      <c r="B81" s="37"/>
      <c r="C81" s="37"/>
      <c r="D81" s="37"/>
      <c r="E81" s="38"/>
      <c r="F81" s="208" t="s">
        <v>123</v>
      </c>
      <c r="G81" s="209"/>
      <c r="H81" s="209"/>
      <c r="I81" s="209"/>
      <c r="J81" s="209"/>
      <c r="K81" s="209"/>
      <c r="L81" s="210"/>
    </row>
    <row r="82" spans="1:12" ht="15.75" customHeight="1" x14ac:dyDescent="0.25">
      <c r="A82" s="445" t="s">
        <v>162</v>
      </c>
      <c r="B82" s="203"/>
      <c r="C82" s="203"/>
      <c r="D82" s="203"/>
      <c r="E82" s="446"/>
      <c r="F82" s="85" t="s">
        <v>188</v>
      </c>
      <c r="G82" s="100" t="s">
        <v>201</v>
      </c>
      <c r="H82" s="86" t="s">
        <v>187</v>
      </c>
      <c r="I82" s="281" t="s">
        <v>186</v>
      </c>
      <c r="J82" s="281"/>
      <c r="K82" s="281"/>
      <c r="L82" s="282"/>
    </row>
    <row r="83" spans="1:12" ht="21" customHeight="1" x14ac:dyDescent="0.25">
      <c r="A83" s="22" t="s">
        <v>92</v>
      </c>
      <c r="B83" s="33" t="s">
        <v>201</v>
      </c>
      <c r="C83" s="34" t="s">
        <v>118</v>
      </c>
      <c r="D83" s="297" t="s">
        <v>95</v>
      </c>
      <c r="E83" s="297"/>
      <c r="F83" s="28" t="s">
        <v>189</v>
      </c>
      <c r="G83" s="64" t="s">
        <v>201</v>
      </c>
      <c r="H83" s="42" t="s">
        <v>97</v>
      </c>
      <c r="I83" s="280"/>
      <c r="J83" s="280"/>
      <c r="K83" s="280"/>
      <c r="L83" s="280"/>
    </row>
    <row r="84" spans="1:12" ht="31.5" customHeight="1" x14ac:dyDescent="0.25">
      <c r="A84" s="40" t="s">
        <v>125</v>
      </c>
      <c r="B84" s="33" t="s">
        <v>201</v>
      </c>
      <c r="C84" s="39" t="s">
        <v>124</v>
      </c>
      <c r="D84" s="308"/>
      <c r="E84" s="309"/>
      <c r="F84" s="35" t="s">
        <v>201</v>
      </c>
      <c r="G84" s="31" t="s">
        <v>96</v>
      </c>
      <c r="H84" s="212" t="s">
        <v>94</v>
      </c>
      <c r="I84" s="212"/>
      <c r="J84" s="414" t="s">
        <v>185</v>
      </c>
      <c r="K84" s="414"/>
      <c r="L84" s="32" t="s">
        <v>93</v>
      </c>
    </row>
    <row r="85" spans="1:12" ht="17.25" customHeight="1" x14ac:dyDescent="0.25">
      <c r="A85" s="320"/>
      <c r="B85" s="209"/>
      <c r="C85" s="209"/>
      <c r="D85" s="209"/>
      <c r="E85" s="210"/>
      <c r="F85" s="70" t="s">
        <v>189</v>
      </c>
      <c r="G85" s="69" t="s">
        <v>201</v>
      </c>
      <c r="H85" s="48" t="s">
        <v>129</v>
      </c>
      <c r="I85" s="440" t="s">
        <v>122</v>
      </c>
      <c r="J85" s="441"/>
      <c r="K85" s="441"/>
      <c r="L85" s="441"/>
    </row>
    <row r="86" spans="1:12" ht="5.0999999999999996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49.5" customHeight="1" x14ac:dyDescent="0.25">
      <c r="A87" s="224" t="s">
        <v>195</v>
      </c>
      <c r="B87" s="224"/>
      <c r="C87" s="224"/>
      <c r="D87" s="224"/>
      <c r="E87" s="224"/>
      <c r="F87" s="224"/>
      <c r="G87" s="224"/>
      <c r="H87" s="224"/>
      <c r="I87" s="224"/>
      <c r="J87" s="224"/>
      <c r="K87" s="224"/>
      <c r="L87" s="224"/>
    </row>
    <row r="88" spans="1:12" ht="21" x14ac:dyDescent="0.25">
      <c r="A88" s="2"/>
      <c r="B88" s="2"/>
      <c r="C88" s="2"/>
      <c r="D88" s="2"/>
      <c r="F88" s="3" t="s">
        <v>0</v>
      </c>
      <c r="G88" s="204">
        <f>G2</f>
        <v>0</v>
      </c>
      <c r="H88" s="204"/>
      <c r="J88" s="2"/>
      <c r="K88" s="2"/>
      <c r="L88" s="2"/>
    </row>
    <row r="89" spans="1:12" ht="11.2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9.5" customHeight="1" x14ac:dyDescent="0.25">
      <c r="A90" s="4" t="s">
        <v>1</v>
      </c>
      <c r="B90" s="5"/>
      <c r="C90" s="6">
        <v>3</v>
      </c>
      <c r="D90" s="5" t="s">
        <v>68</v>
      </c>
      <c r="E90" s="5"/>
      <c r="F90" s="5"/>
      <c r="G90" s="5"/>
      <c r="H90" s="5"/>
      <c r="I90" s="5"/>
      <c r="J90" s="278" t="s">
        <v>126</v>
      </c>
      <c r="K90" s="278"/>
      <c r="L90" s="12">
        <f ca="1">L3</f>
        <v>46036</v>
      </c>
    </row>
    <row r="91" spans="1:12" ht="18.75" customHeight="1" x14ac:dyDescent="0.25">
      <c r="A91" s="279" t="s">
        <v>3</v>
      </c>
      <c r="B91" s="205"/>
      <c r="C91" s="258" t="str">
        <f>C4</f>
        <v>רמת השרון -  רח' גולומב 23+19</v>
      </c>
      <c r="D91" s="258"/>
      <c r="E91" s="258"/>
      <c r="F91" s="258"/>
      <c r="G91" s="258"/>
      <c r="H91" s="258"/>
      <c r="I91" s="258"/>
      <c r="J91" s="205" t="s">
        <v>4</v>
      </c>
      <c r="K91" s="205"/>
      <c r="L91" s="13">
        <f>L4</f>
        <v>140407</v>
      </c>
    </row>
    <row r="92" spans="1:12" ht="14.25" customHeight="1" x14ac:dyDescent="0.25">
      <c r="A92" s="213" t="s">
        <v>63</v>
      </c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</row>
    <row r="93" spans="1:12" ht="47.25" customHeight="1" x14ac:dyDescent="0.25">
      <c r="A93" s="149" t="s">
        <v>91</v>
      </c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</row>
    <row r="94" spans="1:12" ht="20.25" customHeight="1" x14ac:dyDescent="0.25">
      <c r="A94" s="206" t="s">
        <v>38</v>
      </c>
      <c r="B94" s="207"/>
      <c r="C94" s="206" t="s">
        <v>39</v>
      </c>
      <c r="D94" s="301"/>
      <c r="E94" s="301"/>
      <c r="F94" s="301"/>
      <c r="G94" s="207"/>
      <c r="H94" s="206" t="s">
        <v>40</v>
      </c>
      <c r="I94" s="207"/>
      <c r="J94" s="206" t="s">
        <v>119</v>
      </c>
      <c r="K94" s="207"/>
      <c r="L94" s="18" t="s">
        <v>28</v>
      </c>
    </row>
    <row r="95" spans="1:12" ht="41.25" customHeight="1" x14ac:dyDescent="0.25">
      <c r="A95" s="292" t="s">
        <v>127</v>
      </c>
      <c r="B95" s="293"/>
      <c r="C95" s="259" t="s">
        <v>128</v>
      </c>
      <c r="D95" s="260"/>
      <c r="E95" s="260"/>
      <c r="F95" s="260"/>
      <c r="G95" s="261"/>
      <c r="H95" s="220" t="s">
        <v>206</v>
      </c>
      <c r="I95" s="221"/>
      <c r="J95" s="265">
        <v>750</v>
      </c>
      <c r="K95" s="423" t="s">
        <v>120</v>
      </c>
      <c r="L95" s="231"/>
    </row>
    <row r="96" spans="1:12" ht="25.5" customHeight="1" x14ac:dyDescent="0.25">
      <c r="A96" s="294" t="s">
        <v>121</v>
      </c>
      <c r="B96" s="245"/>
      <c r="C96" s="262"/>
      <c r="D96" s="263"/>
      <c r="E96" s="263"/>
      <c r="F96" s="263"/>
      <c r="G96" s="264"/>
      <c r="H96" s="222"/>
      <c r="I96" s="223"/>
      <c r="J96" s="266"/>
      <c r="K96" s="424"/>
      <c r="L96" s="232"/>
    </row>
    <row r="97" spans="1:12" ht="18.75" customHeight="1" x14ac:dyDescent="0.25">
      <c r="A97" s="109"/>
      <c r="B97" s="109"/>
      <c r="C97" s="310"/>
      <c r="D97" s="310"/>
      <c r="E97" s="310"/>
      <c r="F97" s="310"/>
      <c r="G97" s="310"/>
      <c r="H97" s="311"/>
      <c r="I97" s="311"/>
      <c r="J97" s="65"/>
      <c r="K97" s="66"/>
      <c r="L97" s="67"/>
    </row>
    <row r="98" spans="1:12" ht="13.2" customHeight="1" x14ac:dyDescent="0.25">
      <c r="A98" s="109"/>
      <c r="B98" s="109"/>
      <c r="C98" s="425"/>
      <c r="D98" s="425"/>
      <c r="E98" s="425"/>
      <c r="F98" s="425"/>
      <c r="G98" s="425"/>
      <c r="H98" s="219"/>
      <c r="I98" s="219"/>
      <c r="J98" s="65"/>
      <c r="K98" s="66"/>
      <c r="L98" s="67"/>
    </row>
    <row r="99" spans="1:12" ht="18" hidden="1" customHeight="1" x14ac:dyDescent="0.25">
      <c r="A99" s="296"/>
      <c r="B99" s="296"/>
      <c r="C99" s="296"/>
      <c r="D99" s="296"/>
      <c r="E99" s="296"/>
      <c r="F99" s="296"/>
      <c r="G99" s="296"/>
      <c r="H99" s="296"/>
      <c r="I99" s="296"/>
      <c r="J99" s="296"/>
      <c r="K99" s="211"/>
      <c r="L99" s="211"/>
    </row>
    <row r="100" spans="1:12" ht="18.75" customHeight="1" x14ac:dyDescent="0.25">
      <c r="A100" s="302" t="s">
        <v>85</v>
      </c>
      <c r="B100" s="302"/>
      <c r="C100" s="302"/>
      <c r="D100" s="302"/>
      <c r="E100" s="302"/>
      <c r="F100" s="302"/>
      <c r="G100" s="302"/>
      <c r="H100" s="302"/>
      <c r="I100" s="302"/>
      <c r="J100" s="302"/>
      <c r="K100" s="302"/>
      <c r="L100" s="302"/>
    </row>
    <row r="101" spans="1:12" ht="21" customHeight="1" x14ac:dyDescent="0.25">
      <c r="A101" s="303" t="s">
        <v>112</v>
      </c>
      <c r="B101" s="303"/>
      <c r="C101" s="303"/>
      <c r="D101" s="303"/>
      <c r="E101" s="303"/>
      <c r="F101" s="303"/>
      <c r="G101" s="303"/>
      <c r="H101" s="303"/>
      <c r="I101" s="303"/>
      <c r="J101" s="304"/>
      <c r="K101" s="8"/>
      <c r="L101" s="8"/>
    </row>
    <row r="102" spans="1:12" ht="20.25" customHeight="1" x14ac:dyDescent="0.25">
      <c r="A102" s="168" t="s">
        <v>38</v>
      </c>
      <c r="B102" s="168"/>
      <c r="C102" s="168" t="s">
        <v>42</v>
      </c>
      <c r="D102" s="168"/>
      <c r="E102" s="168"/>
      <c r="F102" s="168" t="s">
        <v>43</v>
      </c>
      <c r="G102" s="168"/>
      <c r="H102" s="51" t="s">
        <v>46</v>
      </c>
      <c r="I102" s="168" t="s">
        <v>50</v>
      </c>
      <c r="J102" s="168"/>
      <c r="K102" s="16"/>
      <c r="L102" s="17"/>
    </row>
    <row r="103" spans="1:12" ht="18.75" customHeight="1" x14ac:dyDescent="0.25">
      <c r="A103" s="146"/>
      <c r="B103" s="146"/>
      <c r="C103" s="146"/>
      <c r="D103" s="146"/>
      <c r="E103" s="146"/>
      <c r="F103" s="146" t="s">
        <v>44</v>
      </c>
      <c r="G103" s="146"/>
      <c r="H103" s="50" t="s">
        <v>47</v>
      </c>
      <c r="I103" s="169" t="s">
        <v>45</v>
      </c>
      <c r="J103" s="169"/>
      <c r="K103" s="146" t="s">
        <v>53</v>
      </c>
      <c r="L103" s="146"/>
    </row>
    <row r="104" spans="1:12" ht="18.75" customHeight="1" x14ac:dyDescent="0.25">
      <c r="A104" s="146"/>
      <c r="B104" s="146"/>
      <c r="C104" s="146"/>
      <c r="D104" s="146"/>
      <c r="E104" s="146"/>
      <c r="F104" s="146" t="s">
        <v>40</v>
      </c>
      <c r="G104" s="146"/>
      <c r="H104" s="50" t="s">
        <v>48</v>
      </c>
      <c r="I104" s="50" t="s">
        <v>51</v>
      </c>
      <c r="J104" s="50" t="s">
        <v>51</v>
      </c>
      <c r="K104" s="146" t="s">
        <v>54</v>
      </c>
      <c r="L104" s="146"/>
    </row>
    <row r="105" spans="1:12" ht="20.25" customHeight="1" x14ac:dyDescent="0.25">
      <c r="A105" s="146"/>
      <c r="B105" s="146"/>
      <c r="C105" s="146"/>
      <c r="D105" s="146"/>
      <c r="E105" s="146"/>
      <c r="F105" s="146" t="s">
        <v>45</v>
      </c>
      <c r="G105" s="146"/>
      <c r="H105" s="50" t="s">
        <v>49</v>
      </c>
      <c r="I105" s="50" t="s">
        <v>52</v>
      </c>
      <c r="J105" s="50" t="s">
        <v>47</v>
      </c>
      <c r="K105" s="146" t="s">
        <v>49</v>
      </c>
      <c r="L105" s="146"/>
    </row>
    <row r="106" spans="1:12" ht="20.25" customHeight="1" x14ac:dyDescent="0.25">
      <c r="A106" s="146"/>
      <c r="B106" s="146"/>
      <c r="C106" s="146"/>
      <c r="D106" s="146"/>
      <c r="E106" s="146"/>
      <c r="F106" s="146"/>
      <c r="G106" s="146"/>
      <c r="H106" s="50" t="s">
        <v>45</v>
      </c>
      <c r="I106" s="50"/>
      <c r="J106" s="50"/>
      <c r="K106" s="43"/>
      <c r="L106" s="44"/>
    </row>
    <row r="107" spans="1:12" ht="20.25" customHeight="1" x14ac:dyDescent="0.25">
      <c r="A107" s="298" t="s">
        <v>182</v>
      </c>
      <c r="B107" s="298"/>
      <c r="C107" s="299" t="s">
        <v>105</v>
      </c>
      <c r="D107" s="300"/>
      <c r="E107" s="24">
        <v>403</v>
      </c>
      <c r="F107" s="154" t="s">
        <v>106</v>
      </c>
      <c r="G107" s="154"/>
      <c r="H107" s="18">
        <v>0.5</v>
      </c>
      <c r="I107" s="23" t="s">
        <v>41</v>
      </c>
      <c r="J107" s="23" t="s">
        <v>201</v>
      </c>
      <c r="K107" s="315" t="s">
        <v>72</v>
      </c>
      <c r="L107" s="316"/>
    </row>
    <row r="108" spans="1:12" ht="20.25" customHeight="1" x14ac:dyDescent="0.25">
      <c r="A108" s="150" t="s">
        <v>183</v>
      </c>
      <c r="B108" s="151"/>
      <c r="C108" s="162" t="s">
        <v>104</v>
      </c>
      <c r="D108" s="163"/>
      <c r="E108" s="144">
        <v>805</v>
      </c>
      <c r="F108" s="292" t="s">
        <v>107</v>
      </c>
      <c r="G108" s="293"/>
      <c r="H108" s="171">
        <v>2</v>
      </c>
      <c r="I108" s="140" t="s">
        <v>201</v>
      </c>
      <c r="J108" s="140" t="s">
        <v>201</v>
      </c>
      <c r="K108" s="132" t="s">
        <v>72</v>
      </c>
      <c r="L108" s="133"/>
    </row>
    <row r="109" spans="1:12" ht="20.25" customHeight="1" x14ac:dyDescent="0.25">
      <c r="A109" s="152"/>
      <c r="B109" s="153"/>
      <c r="C109" s="173" t="s">
        <v>184</v>
      </c>
      <c r="D109" s="174"/>
      <c r="E109" s="145"/>
      <c r="F109" s="294"/>
      <c r="G109" s="245"/>
      <c r="H109" s="172"/>
      <c r="I109" s="141"/>
      <c r="J109" s="141"/>
      <c r="K109" s="134"/>
      <c r="L109" s="135"/>
    </row>
    <row r="110" spans="1:12" ht="19.5" customHeight="1" x14ac:dyDescent="0.25">
      <c r="A110" s="175" t="s">
        <v>98</v>
      </c>
      <c r="B110" s="175"/>
      <c r="C110" s="54" t="s">
        <v>55</v>
      </c>
      <c r="D110" s="54"/>
      <c r="E110" s="157">
        <v>537</v>
      </c>
      <c r="F110" s="168" t="s">
        <v>108</v>
      </c>
      <c r="G110" s="168"/>
      <c r="H110" s="168">
        <v>0.5</v>
      </c>
      <c r="I110" s="140" t="s">
        <v>201</v>
      </c>
      <c r="J110" s="140" t="s">
        <v>201</v>
      </c>
      <c r="K110" s="159" t="s">
        <v>72</v>
      </c>
      <c r="L110" s="159"/>
    </row>
    <row r="111" spans="1:12" ht="14.25" customHeight="1" x14ac:dyDescent="0.25">
      <c r="A111" s="176"/>
      <c r="B111" s="176"/>
      <c r="C111" s="155" t="s">
        <v>102</v>
      </c>
      <c r="D111" s="156"/>
      <c r="E111" s="158"/>
      <c r="F111" s="169"/>
      <c r="G111" s="169"/>
      <c r="H111" s="169"/>
      <c r="I111" s="141"/>
      <c r="J111" s="141"/>
      <c r="K111" s="148"/>
      <c r="L111" s="148"/>
    </row>
    <row r="112" spans="1:12" ht="14.55" customHeight="1" x14ac:dyDescent="0.25">
      <c r="A112" s="142" t="s">
        <v>99</v>
      </c>
      <c r="B112" s="142"/>
      <c r="C112" s="53" t="s">
        <v>55</v>
      </c>
      <c r="D112" s="53"/>
      <c r="E112" s="115">
        <v>660</v>
      </c>
      <c r="F112" s="334" t="s">
        <v>41</v>
      </c>
      <c r="G112" s="334"/>
      <c r="H112" s="142" t="s">
        <v>41</v>
      </c>
      <c r="I112" s="164" t="s">
        <v>201</v>
      </c>
      <c r="J112" s="165"/>
      <c r="K112" s="147" t="s">
        <v>201</v>
      </c>
      <c r="L112" s="147"/>
    </row>
    <row r="113" spans="1:12" ht="15.75" customHeight="1" x14ac:dyDescent="0.25">
      <c r="A113" s="143"/>
      <c r="B113" s="143"/>
      <c r="C113" s="127" t="s">
        <v>103</v>
      </c>
      <c r="D113" s="127"/>
      <c r="E113" s="116"/>
      <c r="F113" s="178"/>
      <c r="G113" s="178"/>
      <c r="H113" s="143"/>
      <c r="I113" s="166"/>
      <c r="J113" s="167"/>
      <c r="K113" s="148"/>
      <c r="L113" s="148"/>
    </row>
    <row r="114" spans="1:12" ht="15.6" x14ac:dyDescent="0.25">
      <c r="A114" s="181" t="s">
        <v>100</v>
      </c>
      <c r="B114" s="183"/>
      <c r="C114" s="181" t="s">
        <v>86</v>
      </c>
      <c r="D114" s="182"/>
      <c r="E114" s="183"/>
      <c r="F114" s="187" t="s">
        <v>109</v>
      </c>
      <c r="G114" s="188"/>
      <c r="H114" s="52" t="s">
        <v>41</v>
      </c>
      <c r="I114" s="128" t="s">
        <v>201</v>
      </c>
      <c r="J114" s="129"/>
      <c r="K114" s="132" t="s">
        <v>72</v>
      </c>
      <c r="L114" s="133"/>
    </row>
    <row r="115" spans="1:12" ht="14.25" customHeight="1" x14ac:dyDescent="0.25">
      <c r="A115" s="184"/>
      <c r="B115" s="186"/>
      <c r="C115" s="184"/>
      <c r="D115" s="185"/>
      <c r="E115" s="186"/>
      <c r="F115" s="189"/>
      <c r="G115" s="190"/>
      <c r="H115" s="52"/>
      <c r="I115" s="130"/>
      <c r="J115" s="131"/>
      <c r="K115" s="134"/>
      <c r="L115" s="135"/>
    </row>
    <row r="116" spans="1:12" ht="14.55" customHeight="1" x14ac:dyDescent="0.25">
      <c r="A116" s="170" t="s">
        <v>101</v>
      </c>
      <c r="B116" s="170"/>
      <c r="C116" s="56" t="s">
        <v>55</v>
      </c>
      <c r="D116" s="56"/>
      <c r="E116" s="115">
        <v>1073</v>
      </c>
      <c r="F116" s="177" t="s">
        <v>109</v>
      </c>
      <c r="G116" s="177"/>
      <c r="H116" s="179">
        <v>2</v>
      </c>
      <c r="I116" s="113" t="s">
        <v>201</v>
      </c>
      <c r="J116" s="113" t="s">
        <v>201</v>
      </c>
      <c r="K116" s="159" t="s">
        <v>72</v>
      </c>
      <c r="L116" s="159"/>
    </row>
    <row r="117" spans="1:12" ht="14.55" customHeight="1" x14ac:dyDescent="0.25">
      <c r="A117" s="143"/>
      <c r="B117" s="143"/>
      <c r="C117" s="160" t="s">
        <v>110</v>
      </c>
      <c r="D117" s="161"/>
      <c r="E117" s="116"/>
      <c r="F117" s="178"/>
      <c r="G117" s="178"/>
      <c r="H117" s="180"/>
      <c r="I117" s="114"/>
      <c r="J117" s="114"/>
      <c r="K117" s="148"/>
      <c r="L117" s="148"/>
    </row>
    <row r="118" spans="1:12" x14ac:dyDescent="0.25">
      <c r="A118" s="321" t="s">
        <v>142</v>
      </c>
      <c r="B118" s="321"/>
      <c r="C118" s="321"/>
      <c r="D118" s="321"/>
      <c r="E118" s="321"/>
      <c r="F118" s="321"/>
      <c r="G118" s="321"/>
      <c r="H118" s="321"/>
      <c r="I118" s="321"/>
      <c r="J118" s="322"/>
      <c r="K118" s="61">
        <v>1.43</v>
      </c>
      <c r="L118" s="62" t="s">
        <v>141</v>
      </c>
    </row>
    <row r="119" spans="1:12" x14ac:dyDescent="0.25">
      <c r="A119" s="63"/>
      <c r="B119" s="63"/>
      <c r="C119" s="63"/>
      <c r="D119" s="63"/>
      <c r="E119" s="63"/>
      <c r="F119" s="63"/>
      <c r="G119" s="63"/>
      <c r="H119" s="63"/>
      <c r="I119" s="63"/>
      <c r="J119" s="63"/>
    </row>
    <row r="120" spans="1:12" x14ac:dyDescent="0.25">
      <c r="A120" s="422" t="s">
        <v>143</v>
      </c>
      <c r="B120" s="422"/>
      <c r="C120" s="422"/>
      <c r="D120" s="422"/>
      <c r="E120" s="422"/>
      <c r="F120" s="422"/>
      <c r="G120" s="422"/>
      <c r="H120" s="422"/>
      <c r="I120" s="422"/>
      <c r="J120" s="422"/>
      <c r="K120" s="29">
        <v>1.43</v>
      </c>
      <c r="L120" s="62" t="s">
        <v>144</v>
      </c>
    </row>
    <row r="121" spans="1:12" x14ac:dyDescent="0.25">
      <c r="A121" s="63"/>
      <c r="B121" s="63"/>
      <c r="C121" s="63"/>
      <c r="D121" s="63"/>
      <c r="E121" s="63"/>
      <c r="F121" s="63"/>
      <c r="G121" s="63"/>
      <c r="H121" s="63"/>
      <c r="I121" s="63"/>
      <c r="J121" s="63"/>
    </row>
    <row r="122" spans="1:12" x14ac:dyDescent="0.25">
      <c r="A122" s="324" t="s">
        <v>146</v>
      </c>
      <c r="B122" s="325"/>
      <c r="C122" s="325"/>
      <c r="D122" s="325"/>
      <c r="E122" s="325"/>
      <c r="F122" s="325"/>
      <c r="G122" s="325"/>
      <c r="H122" s="325"/>
      <c r="I122" s="325"/>
      <c r="J122" s="326"/>
      <c r="K122" s="30" t="s">
        <v>41</v>
      </c>
      <c r="L122" s="62" t="s">
        <v>145</v>
      </c>
    </row>
    <row r="123" spans="1:12" ht="17.399999999999999" x14ac:dyDescent="0.25">
      <c r="A123" s="411" t="s">
        <v>191</v>
      </c>
      <c r="B123" s="412"/>
      <c r="C123" s="413" t="s">
        <v>158</v>
      </c>
      <c r="D123" s="413"/>
      <c r="E123" s="413"/>
      <c r="F123" s="413"/>
      <c r="G123" s="413"/>
      <c r="H123" s="413"/>
      <c r="I123" s="413"/>
      <c r="J123" s="413"/>
      <c r="K123" s="413"/>
      <c r="L123" s="413"/>
    </row>
    <row r="124" spans="1:12" ht="15" x14ac:dyDescent="0.25">
      <c r="A124" s="434" t="s">
        <v>38</v>
      </c>
      <c r="B124" s="434"/>
      <c r="C124" s="435" t="s">
        <v>42</v>
      </c>
      <c r="D124" s="435"/>
      <c r="E124" s="435"/>
      <c r="F124" s="323" t="s">
        <v>159</v>
      </c>
      <c r="G124" s="323"/>
      <c r="H124" s="323"/>
      <c r="I124" s="323"/>
      <c r="J124" s="323"/>
      <c r="K124" s="323"/>
      <c r="L124" s="323"/>
    </row>
    <row r="125" spans="1:12" x14ac:dyDescent="0.25">
      <c r="A125" s="363" t="s">
        <v>160</v>
      </c>
      <c r="B125" s="363"/>
      <c r="C125" s="409" t="s">
        <v>161</v>
      </c>
      <c r="D125" s="409"/>
      <c r="E125" s="409"/>
      <c r="F125" s="323"/>
      <c r="G125" s="323"/>
      <c r="H125" s="323"/>
      <c r="I125" s="323"/>
      <c r="J125" s="323"/>
      <c r="K125" s="323"/>
      <c r="L125" s="323"/>
    </row>
    <row r="126" spans="1:12" x14ac:dyDescent="0.25">
      <c r="A126" s="363"/>
      <c r="B126" s="363"/>
      <c r="C126" s="409"/>
      <c r="D126" s="409"/>
      <c r="E126" s="409"/>
      <c r="F126" s="323"/>
      <c r="G126" s="323"/>
      <c r="H126" s="323"/>
      <c r="I126" s="323"/>
      <c r="J126" s="323"/>
      <c r="K126" s="323"/>
      <c r="L126" s="323"/>
    </row>
    <row r="127" spans="1:12" ht="22.8" x14ac:dyDescent="0.25">
      <c r="A127" s="363"/>
      <c r="B127" s="363"/>
      <c r="C127" s="327" t="s">
        <v>164</v>
      </c>
      <c r="D127" s="327"/>
      <c r="E127" s="327"/>
      <c r="F127" s="328" t="s">
        <v>165</v>
      </c>
      <c r="G127" s="328"/>
      <c r="H127" s="328"/>
      <c r="I127" s="70" t="s">
        <v>166</v>
      </c>
      <c r="J127" s="71" t="s">
        <v>201</v>
      </c>
      <c r="K127" s="357" t="s">
        <v>167</v>
      </c>
      <c r="L127" s="357"/>
    </row>
    <row r="128" spans="1:12" ht="17.399999999999999" x14ac:dyDescent="0.25">
      <c r="A128" s="363"/>
      <c r="B128" s="363"/>
      <c r="C128" s="327" t="s">
        <v>168</v>
      </c>
      <c r="D128" s="327"/>
      <c r="E128" s="327"/>
      <c r="F128" s="328" t="s">
        <v>169</v>
      </c>
      <c r="G128" s="328"/>
      <c r="H128" s="328"/>
      <c r="I128" s="70" t="s">
        <v>166</v>
      </c>
      <c r="J128" s="71" t="s">
        <v>201</v>
      </c>
      <c r="K128" s="357" t="s">
        <v>201</v>
      </c>
      <c r="L128" s="357"/>
    </row>
    <row r="129" spans="1:12" x14ac:dyDescent="0.25">
      <c r="A129" s="363"/>
      <c r="B129" s="363"/>
      <c r="C129" s="327" t="s">
        <v>170</v>
      </c>
      <c r="D129" s="327"/>
      <c r="E129" s="327"/>
      <c r="F129" s="79" t="s">
        <v>171</v>
      </c>
      <c r="G129" s="107" t="s">
        <v>201</v>
      </c>
      <c r="H129" s="80" t="s">
        <v>207</v>
      </c>
      <c r="I129" s="70" t="s">
        <v>163</v>
      </c>
      <c r="J129" s="71" t="s">
        <v>41</v>
      </c>
      <c r="K129" s="357" t="s">
        <v>201</v>
      </c>
      <c r="L129" s="357"/>
    </row>
    <row r="130" spans="1:12" ht="5.25" customHeight="1" x14ac:dyDescent="0.25">
      <c r="A130" s="358"/>
      <c r="B130" s="359"/>
      <c r="C130" s="359"/>
      <c r="D130" s="359"/>
      <c r="E130" s="359"/>
      <c r="F130" s="359"/>
      <c r="G130" s="359"/>
      <c r="H130" s="359"/>
      <c r="I130" s="359"/>
      <c r="J130" s="359"/>
      <c r="K130" s="359"/>
      <c r="L130" s="360"/>
    </row>
    <row r="131" spans="1:12" x14ac:dyDescent="0.25">
      <c r="A131" s="361" t="s">
        <v>172</v>
      </c>
      <c r="B131" s="362"/>
      <c r="C131" s="362"/>
      <c r="D131" s="362"/>
      <c r="E131" s="362"/>
      <c r="F131" s="363" t="s">
        <v>173</v>
      </c>
      <c r="G131" s="363"/>
      <c r="H131" s="363"/>
      <c r="I131" s="330" t="s">
        <v>174</v>
      </c>
      <c r="J131" s="330"/>
      <c r="K131" s="364" t="s">
        <v>28</v>
      </c>
      <c r="L131" s="364"/>
    </row>
    <row r="132" spans="1:12" x14ac:dyDescent="0.25">
      <c r="A132" s="329" t="s">
        <v>175</v>
      </c>
      <c r="B132" s="329"/>
      <c r="C132" s="329"/>
      <c r="D132" s="329"/>
      <c r="E132" s="329"/>
      <c r="F132" s="355" t="s">
        <v>209</v>
      </c>
      <c r="G132" s="355"/>
      <c r="H132" s="355"/>
      <c r="I132" s="356" t="s">
        <v>71</v>
      </c>
      <c r="J132" s="356"/>
      <c r="K132" s="357"/>
      <c r="L132" s="357"/>
    </row>
    <row r="133" spans="1:12" ht="15" x14ac:dyDescent="0.25">
      <c r="A133" s="304"/>
      <c r="B133" s="304"/>
      <c r="C133" s="304"/>
      <c r="D133" s="304"/>
      <c r="E133" s="304"/>
      <c r="F133" s="304"/>
      <c r="G133" s="304"/>
      <c r="H133" s="304"/>
      <c r="I133" s="304"/>
      <c r="J133" s="304"/>
      <c r="K133" s="58"/>
      <c r="L133" s="59"/>
    </row>
    <row r="134" spans="1:12" ht="18" x14ac:dyDescent="0.25">
      <c r="A134" s="367" t="s">
        <v>192</v>
      </c>
      <c r="B134" s="367"/>
      <c r="C134" s="367"/>
      <c r="D134" s="367"/>
      <c r="E134" s="367"/>
      <c r="F134" s="367"/>
      <c r="G134" s="367"/>
      <c r="H134" s="367"/>
      <c r="I134" s="367"/>
      <c r="J134" s="367"/>
      <c r="K134" s="367"/>
      <c r="L134" s="367"/>
    </row>
    <row r="135" spans="1:12" ht="20.25" customHeight="1" x14ac:dyDescent="0.25">
      <c r="A135" s="312" t="s">
        <v>38</v>
      </c>
      <c r="B135" s="314"/>
      <c r="C135" s="312" t="s">
        <v>79</v>
      </c>
      <c r="D135" s="313"/>
      <c r="E135" s="314"/>
      <c r="F135" s="312" t="s">
        <v>81</v>
      </c>
      <c r="G135" s="314"/>
      <c r="H135" s="331" t="s">
        <v>25</v>
      </c>
      <c r="I135" s="332"/>
      <c r="J135" s="333"/>
      <c r="K135" s="331" t="s">
        <v>84</v>
      </c>
      <c r="L135" s="333"/>
    </row>
    <row r="136" spans="1:12" ht="15.75" customHeight="1" x14ac:dyDescent="0.25">
      <c r="A136" s="337" t="s">
        <v>111</v>
      </c>
      <c r="B136" s="338"/>
      <c r="C136" s="343" t="s">
        <v>80</v>
      </c>
      <c r="D136" s="344"/>
      <c r="E136" s="345"/>
      <c r="F136" s="335" t="s">
        <v>87</v>
      </c>
      <c r="G136" s="336"/>
      <c r="H136" s="352" t="s">
        <v>202</v>
      </c>
      <c r="I136" s="353"/>
      <c r="J136" s="354"/>
      <c r="K136" s="315" t="s">
        <v>59</v>
      </c>
      <c r="L136" s="316"/>
    </row>
    <row r="137" spans="1:12" ht="15.75" customHeight="1" x14ac:dyDescent="0.25">
      <c r="A137" s="339"/>
      <c r="B137" s="340"/>
      <c r="C137" s="346"/>
      <c r="D137" s="347"/>
      <c r="E137" s="348"/>
      <c r="F137" s="335" t="s">
        <v>82</v>
      </c>
      <c r="G137" s="336"/>
      <c r="H137" s="352" t="s">
        <v>201</v>
      </c>
      <c r="I137" s="353"/>
      <c r="J137" s="354"/>
      <c r="K137" s="315" t="s">
        <v>72</v>
      </c>
      <c r="L137" s="316"/>
    </row>
    <row r="138" spans="1:12" ht="18" customHeight="1" x14ac:dyDescent="0.25">
      <c r="A138" s="341"/>
      <c r="B138" s="342"/>
      <c r="C138" s="349"/>
      <c r="D138" s="350"/>
      <c r="E138" s="351"/>
      <c r="F138" s="365" t="s">
        <v>83</v>
      </c>
      <c r="G138" s="366"/>
      <c r="H138" s="352" t="s">
        <v>201</v>
      </c>
      <c r="I138" s="353"/>
      <c r="J138" s="354"/>
      <c r="K138" s="315" t="s">
        <v>72</v>
      </c>
      <c r="L138" s="316"/>
    </row>
    <row r="139" spans="1:12" ht="14.25" customHeight="1" x14ac:dyDescent="0.25">
      <c r="A139" s="57"/>
      <c r="B139" s="57"/>
      <c r="C139" s="55"/>
      <c r="D139" s="55"/>
      <c r="E139" s="55"/>
      <c r="F139" s="55"/>
      <c r="G139" s="55"/>
      <c r="H139" s="55"/>
      <c r="I139" s="55"/>
      <c r="J139" s="57"/>
      <c r="K139" s="57"/>
      <c r="L139" s="8"/>
    </row>
    <row r="140" spans="1:12" ht="81.75" customHeight="1" x14ac:dyDescent="0.25">
      <c r="A140" s="317" t="s">
        <v>130</v>
      </c>
      <c r="B140" s="317"/>
      <c r="C140" s="317"/>
      <c r="D140" s="317"/>
      <c r="E140" s="317"/>
      <c r="F140" s="317"/>
      <c r="G140" s="317"/>
      <c r="H140" s="317"/>
      <c r="I140" s="317"/>
      <c r="J140" s="317"/>
      <c r="K140" s="317"/>
      <c r="L140" s="317"/>
    </row>
    <row r="141" spans="1:12" ht="1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2" ht="1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spans="1:12" ht="1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spans="1:12" ht="1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spans="1:12" ht="1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spans="1:12" ht="1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spans="1:12" ht="1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spans="1:12" ht="1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spans="1:12" ht="1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spans="1:12" ht="1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spans="1:12" ht="1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spans="1:12" ht="1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spans="1:12" ht="1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spans="1:10" ht="1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spans="1:10" ht="1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spans="1:10" ht="1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spans="1:10" ht="1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spans="1:10" ht="1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spans="1:10" ht="1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spans="1:10" ht="1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spans="1:10" ht="1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spans="1:10" ht="1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spans="1:10" ht="1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spans="1:10" ht="1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spans="1:10" ht="1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spans="1:10" ht="1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spans="1:10" ht="1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spans="1:10" ht="1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spans="1:10" ht="1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spans="1:10" ht="1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spans="1:10" ht="1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spans="1:10" ht="1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spans="1:10" ht="1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spans="1:10" ht="1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spans="1:10" ht="1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spans="1:10" ht="1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spans="1:10" ht="1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spans="1:10" ht="1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spans="1:10" ht="1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spans="1:10" ht="1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spans="1:10" ht="1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spans="1:10" ht="1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spans="1:10" ht="1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spans="1:10" ht="1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spans="1:10" ht="1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spans="1:10" ht="1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spans="1:10" ht="1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spans="1:10" ht="1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spans="1:10" ht="1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spans="1:10" ht="1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spans="1:10" ht="1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spans="1:10" ht="1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spans="1:10" ht="1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spans="1:10" ht="1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spans="1:10" ht="1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spans="1:10" ht="1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spans="1:10" ht="1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spans="1:10" ht="1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spans="1:10" ht="1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spans="1:10" ht="1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spans="1:10" ht="1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spans="1:10" ht="1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spans="1:10" ht="1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spans="1:10" ht="1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spans="1:10" ht="1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spans="1:10" ht="1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spans="1:10" ht="1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spans="1:10" ht="1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spans="1:10" ht="1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spans="1:10" ht="1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spans="1:10" ht="1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spans="1:10" ht="1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spans="1:10" ht="1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spans="1:10" ht="1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spans="1:10" ht="1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spans="1:10" ht="1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spans="1:10" ht="1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spans="1:10" ht="1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spans="1:10" ht="1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spans="1:10" ht="1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spans="1:10" ht="1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spans="1:10" ht="1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spans="1:10" ht="1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spans="1:10" ht="1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spans="1:10" ht="1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spans="1:10" ht="1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spans="1:10" ht="1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spans="1:10" ht="1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spans="1:10" ht="1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spans="1:10" ht="1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spans="1:10" ht="1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spans="1:10" ht="1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spans="1:10" ht="1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spans="1:10" ht="1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spans="1:10" ht="1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spans="1:10" ht="1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spans="1:10" ht="1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spans="1:10" ht="1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spans="1:10" ht="1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spans="1:10" ht="1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spans="1:10" ht="1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spans="1:10" ht="1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spans="1:10" ht="1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spans="1:10" ht="1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spans="1:10" ht="1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spans="1:10" ht="1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spans="1:10" ht="1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spans="1:10" ht="1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spans="1:10" ht="1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spans="1:10" ht="1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spans="1:10" ht="1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spans="1:10" ht="1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spans="1:10" ht="1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spans="1:10" ht="1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spans="1:10" ht="1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spans="1:10" ht="1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spans="1:10" ht="1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spans="1:10" ht="1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spans="1:10" ht="1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spans="1:10" ht="1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spans="1:10" ht="1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spans="1:10" ht="1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spans="1:10" ht="1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spans="1:10" ht="1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spans="1:10" ht="1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spans="1:10" ht="1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spans="1:10" ht="1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spans="1:10" ht="1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spans="1:10" ht="1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spans="1:10" ht="1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spans="1:10" ht="1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spans="1:10" ht="1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spans="1:10" ht="1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spans="1:10" ht="1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spans="1:10" ht="1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spans="1:10" ht="1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spans="1:10" ht="1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spans="1:10" ht="1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spans="1:10" ht="1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spans="1:10" ht="1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spans="1:10" ht="1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spans="1:10" ht="1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spans="1:10" ht="1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spans="1:10" ht="1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spans="1:10" ht="1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spans="1:10" ht="1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spans="1:10" ht="1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spans="1:10" ht="1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spans="1:10" ht="1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spans="1:10" ht="1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spans="1:10" ht="1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spans="1:10" ht="1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spans="1:10" ht="1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spans="1:10" ht="1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spans="1:10" ht="1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spans="1:10" ht="1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spans="1:10" ht="1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spans="1:10" ht="1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spans="1:10" ht="1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spans="1:10" ht="1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spans="1:10" ht="1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spans="1:10" ht="1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spans="1:10" ht="1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spans="1:10" ht="1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spans="1:10" ht="1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spans="1:10" ht="1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spans="1:10" ht="1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spans="1:10" ht="1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spans="1:10" ht="1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spans="1:10" ht="1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spans="1:10" ht="1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spans="1:10" ht="1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spans="1:10" ht="1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spans="1:10" ht="1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spans="1:10" ht="1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spans="1:10" ht="1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spans="1:10" ht="1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spans="1:10" ht="1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spans="1:10" ht="1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spans="1:10" ht="1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spans="1:10" ht="1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spans="1:10" ht="1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spans="1:10" ht="1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spans="1:10" ht="1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spans="1:10" ht="1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spans="1:10" ht="1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spans="1:10" ht="1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spans="1:10" ht="1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spans="1:10" ht="1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spans="1:10" ht="1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spans="1:10" ht="1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spans="1:10" ht="1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spans="1:10" ht="1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spans="1:10" ht="1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spans="1:10" ht="1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spans="1:10" ht="1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spans="1:10" ht="1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spans="1:10" ht="1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spans="1:10" ht="1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spans="1:10" ht="1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spans="1:10" ht="1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spans="1:10" ht="1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spans="1:10" ht="1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spans="1:10" ht="1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spans="1:10" ht="1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spans="1:10" ht="1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spans="1:10" ht="1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spans="1:10" ht="1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spans="1:10" ht="1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spans="1:10" ht="1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spans="1:10" ht="1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spans="1:10" ht="1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spans="1:10" ht="1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spans="1:10" ht="1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spans="1:10" ht="1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spans="1:10" ht="1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spans="1:10" ht="1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spans="1:10" ht="1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spans="1:10" ht="1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spans="1:10" ht="1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spans="1:10" ht="1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spans="1:10" ht="1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spans="1:10" ht="1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spans="1:10" ht="1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spans="1:10" ht="1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spans="1:10" ht="1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spans="1:10" ht="1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spans="1:10" ht="1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spans="1:10" ht="1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spans="1:10" ht="1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spans="1:10" ht="1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spans="1:10" ht="1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spans="1:10" ht="1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spans="1:10" ht="1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spans="1:10" ht="1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spans="1:10" ht="1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spans="1:10" ht="1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spans="1:10" ht="1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spans="1:10" ht="1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spans="1:10" ht="1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spans="1:10" ht="1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spans="1:10" ht="1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spans="1:10" ht="1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spans="1:10" ht="1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spans="1:10" ht="1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spans="1:10" ht="1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spans="1:10" ht="1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spans="1:10" ht="1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spans="1:10" ht="1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spans="1:10" ht="1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spans="1:10" ht="1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spans="1:10" ht="1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spans="1:10" ht="1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spans="1:10" ht="1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spans="1:10" ht="1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spans="1:10" ht="1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spans="1:10" ht="1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spans="1:10" ht="1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spans="1:10" ht="1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spans="1:10" ht="1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spans="1:10" ht="1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spans="1:10" ht="1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spans="1:10" ht="1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spans="1:10" ht="1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spans="1:10" ht="1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spans="1:10" ht="1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spans="1:10" ht="1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spans="1:10" ht="1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spans="1:10" ht="1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spans="1:10" ht="1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spans="1:10" ht="1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spans="1:10" ht="1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spans="1:10" ht="1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spans="1:10" ht="1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spans="1:10" ht="1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spans="1:10" ht="1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spans="1:10" ht="1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spans="1:10" ht="1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spans="1:10" ht="1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spans="1:10" ht="1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spans="1:10" ht="1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spans="1:10" ht="1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spans="1:10" ht="1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spans="1:10" ht="1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spans="1:10" ht="1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spans="1:10" ht="1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spans="1:10" ht="1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spans="1:10" ht="1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spans="1:10" ht="1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spans="1:10" ht="1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spans="1:10" ht="1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spans="1:10" ht="1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spans="1:10" ht="1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spans="1:10" ht="1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spans="1:10" ht="1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spans="1:10" ht="1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spans="1:10" ht="1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spans="1:10" ht="1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spans="1:10" ht="1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spans="1:10" ht="1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spans="1:10" ht="1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spans="1:10" ht="1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spans="1:10" ht="1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spans="1:10" ht="1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spans="1:10" ht="1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spans="1:10" ht="1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spans="1:10" ht="1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spans="1:10" ht="1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spans="1:10" ht="1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spans="1:10" ht="1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spans="1:10" ht="1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spans="1:10" ht="1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spans="1:10" ht="1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spans="1:10" ht="1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</row>
    <row r="990" spans="1:10" ht="1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</row>
    <row r="991" spans="1:10" ht="1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</row>
    <row r="992" spans="1:10" ht="1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</row>
    <row r="993" spans="1:10" ht="1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</row>
    <row r="994" spans="1:10" ht="1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</row>
    <row r="995" spans="1:10" ht="1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</row>
    <row r="996" spans="1:10" ht="1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</row>
    <row r="997" spans="1:10" ht="1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</row>
    <row r="998" spans="1:10" ht="1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</row>
    <row r="999" spans="1:10" ht="1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</row>
    <row r="1000" spans="1:10" ht="1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1:10" ht="1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1:10" ht="1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1:10" ht="15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1:10" ht="15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1:10" ht="15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1:10" ht="15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1:10" ht="15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1:10" ht="15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1:10" ht="15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1:10" ht="15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1:10" ht="15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1:10" ht="15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1:10" ht="15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1:10" ht="15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1:10" ht="15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1:10" ht="15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1:10" ht="15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1:10" ht="15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1:10" ht="15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1:10" ht="15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1:10" ht="15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1:10" ht="15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1:10" ht="15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1:10" ht="15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1:10" ht="15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1:10" ht="15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1:10" ht="15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1:10" ht="15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1:10" ht="15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1:10" ht="15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1:10" ht="15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1:10" ht="15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1:10" ht="15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1:10" ht="15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1:10" ht="15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1:10" ht="15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1:10" ht="15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1:10" ht="15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1:10" ht="15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1:10" ht="15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1:10" ht="15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1:10" ht="15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1:10" ht="15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1:10" ht="15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1:10" ht="15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1:10" ht="15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1:10" ht="15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1:10" ht="15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1:10" ht="15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1:10" ht="15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1:10" ht="15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1:10" ht="15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1:10" ht="15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1:10" ht="15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1:10" ht="15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1:10" ht="15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1:10" ht="15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1:10" ht="15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1:10" ht="15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1:10" ht="15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1:10" ht="15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1:10" ht="15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1:10" ht="15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1:10" ht="15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1:10" ht="15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1:10" ht="15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1:10" ht="15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1:10" ht="15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1:10" ht="15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1:10" ht="15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1:10" ht="15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1:10" ht="15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1:10" ht="15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1:10" ht="15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1:10" ht="15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1:10" ht="15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1:10" ht="15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1:10" ht="15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1:10" ht="15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1:10" ht="15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1:10" ht="15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1:10" ht="15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1:10" ht="15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1:10" ht="15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1:10" ht="15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1:10" ht="15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1:10" ht="15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1:10" ht="15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1:10" ht="15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1:10" ht="15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1:10" ht="15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1:10" ht="15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1:10" ht="15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1:10" ht="15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1:10" ht="15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1:10" ht="15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1:10" ht="15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1:10" ht="15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1:10" ht="15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1:10" ht="15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1:10" ht="15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1:10" ht="15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1:10" ht="15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1:10" ht="15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1:10" ht="15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1:10" ht="15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1:10" ht="15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1:10" ht="15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1:10" ht="15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1:10" ht="15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1:10" ht="15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1:10" ht="15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1:10" ht="15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1:10" ht="15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1:10" ht="15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1:10" ht="15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1:10" ht="15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1:10" ht="15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1:10" ht="15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1:10" ht="15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1:10" ht="15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1:10" ht="15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1:10" ht="15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1:10" ht="15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1:10" ht="15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1:10" ht="15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1:10" ht="15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1:10" ht="15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1:10" ht="15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1:10" ht="15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1:10" ht="15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1:10" ht="15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1:10" ht="15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1:10" ht="15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1:10" ht="15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1:10" ht="15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1:10" ht="15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1:10" ht="15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1:10" ht="15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1:10" ht="15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1:10" ht="15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1:10" ht="15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1:10" ht="15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1:10" ht="15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1:10" ht="15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1:10" ht="15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1:10" ht="15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1:10" ht="15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1:10" ht="15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1:10" ht="15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1:10" ht="15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1:10" ht="15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1:10" ht="15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1:10" ht="15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1:10" ht="15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1:10" ht="15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1:10" ht="15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1:10" ht="15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1:10" ht="15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1:10" ht="15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1:10" ht="15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1:10" ht="15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1:10" ht="15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1:10" ht="15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1:10" ht="15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1:10" ht="15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1:10" ht="15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1:10" ht="15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1:10" ht="15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1:10" ht="15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1:10" ht="15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1:10" ht="15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1:10" ht="15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1:10" ht="15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1:10" ht="15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1:10" ht="15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1:10" ht="15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1:10" ht="15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1:10" ht="15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1:10" ht="15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1:10" ht="15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1:10" ht="15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1:10" ht="15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1:10" ht="15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1:10" ht="15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</row>
  </sheetData>
  <sheetProtection formatCells="0"/>
  <mergeCells count="273">
    <mergeCell ref="D13:L13"/>
    <mergeCell ref="J3:K3"/>
    <mergeCell ref="J4:K4"/>
    <mergeCell ref="C4:I4"/>
    <mergeCell ref="A18:L18"/>
    <mergeCell ref="C20:G20"/>
    <mergeCell ref="J10:L10"/>
    <mergeCell ref="C14:L14"/>
    <mergeCell ref="A15:B15"/>
    <mergeCell ref="A4:B4"/>
    <mergeCell ref="A10:C10"/>
    <mergeCell ref="D10:F10"/>
    <mergeCell ref="N33:V33"/>
    <mergeCell ref="N32:P32"/>
    <mergeCell ref="I8:J8"/>
    <mergeCell ref="C7:H7"/>
    <mergeCell ref="K8:L8"/>
    <mergeCell ref="A124:B124"/>
    <mergeCell ref="C124:E124"/>
    <mergeCell ref="F79:I79"/>
    <mergeCell ref="J79:L79"/>
    <mergeCell ref="I85:L85"/>
    <mergeCell ref="A40:L44"/>
    <mergeCell ref="A82:E82"/>
    <mergeCell ref="A36:B36"/>
    <mergeCell ref="E29:F29"/>
    <mergeCell ref="G29:H29"/>
    <mergeCell ref="E31:F31"/>
    <mergeCell ref="H75:I75"/>
    <mergeCell ref="A67:B67"/>
    <mergeCell ref="H55:I55"/>
    <mergeCell ref="A17:B17"/>
    <mergeCell ref="D17:F17"/>
    <mergeCell ref="A24:L24"/>
    <mergeCell ref="A25:L25"/>
    <mergeCell ref="A26:L26"/>
    <mergeCell ref="C125:E126"/>
    <mergeCell ref="C127:E127"/>
    <mergeCell ref="C129:E129"/>
    <mergeCell ref="E30:F30"/>
    <mergeCell ref="G30:H30"/>
    <mergeCell ref="A31:D31"/>
    <mergeCell ref="A63:B63"/>
    <mergeCell ref="A123:B123"/>
    <mergeCell ref="C123:L123"/>
    <mergeCell ref="J84:K84"/>
    <mergeCell ref="A73:B74"/>
    <mergeCell ref="A60:B62"/>
    <mergeCell ref="A75:B75"/>
    <mergeCell ref="G31:H31"/>
    <mergeCell ref="E32:L32"/>
    <mergeCell ref="A120:J120"/>
    <mergeCell ref="K128:L128"/>
    <mergeCell ref="K107:L107"/>
    <mergeCell ref="K105:L105"/>
    <mergeCell ref="F105:G105"/>
    <mergeCell ref="A95:B95"/>
    <mergeCell ref="L95:L96"/>
    <mergeCell ref="K95:K96"/>
    <mergeCell ref="C98:G98"/>
    <mergeCell ref="A23:L23"/>
    <mergeCell ref="A80:L80"/>
    <mergeCell ref="J63:K63"/>
    <mergeCell ref="C37:D37"/>
    <mergeCell ref="I71:I72"/>
    <mergeCell ref="A37:B37"/>
    <mergeCell ref="F37:J37"/>
    <mergeCell ref="C60:G60"/>
    <mergeCell ref="C61:G61"/>
    <mergeCell ref="E28:F28"/>
    <mergeCell ref="A71:B71"/>
    <mergeCell ref="A69:B69"/>
    <mergeCell ref="J76:K76"/>
    <mergeCell ref="A70:B70"/>
    <mergeCell ref="C75:G75"/>
    <mergeCell ref="H73:I73"/>
    <mergeCell ref="A68:B68"/>
    <mergeCell ref="C67:G72"/>
    <mergeCell ref="H76:I76"/>
    <mergeCell ref="C76:G76"/>
    <mergeCell ref="A76:B76"/>
    <mergeCell ref="J61:K61"/>
    <mergeCell ref="C62:G62"/>
    <mergeCell ref="H74:I74"/>
    <mergeCell ref="F137:G137"/>
    <mergeCell ref="A136:B138"/>
    <mergeCell ref="C136:E138"/>
    <mergeCell ref="H136:J136"/>
    <mergeCell ref="A14:B14"/>
    <mergeCell ref="A21:E21"/>
    <mergeCell ref="F132:H132"/>
    <mergeCell ref="I132:J132"/>
    <mergeCell ref="K129:L129"/>
    <mergeCell ref="A130:L130"/>
    <mergeCell ref="A131:E131"/>
    <mergeCell ref="F131:H131"/>
    <mergeCell ref="K131:L131"/>
    <mergeCell ref="A125:B129"/>
    <mergeCell ref="K127:L127"/>
    <mergeCell ref="F127:H127"/>
    <mergeCell ref="K136:L136"/>
    <mergeCell ref="F138:G138"/>
    <mergeCell ref="H138:J138"/>
    <mergeCell ref="F136:G136"/>
    <mergeCell ref="H137:J137"/>
    <mergeCell ref="K132:L132"/>
    <mergeCell ref="A133:J133"/>
    <mergeCell ref="A134:L134"/>
    <mergeCell ref="C135:E135"/>
    <mergeCell ref="K137:L137"/>
    <mergeCell ref="A140:L140"/>
    <mergeCell ref="A78:L78"/>
    <mergeCell ref="A85:E85"/>
    <mergeCell ref="A135:B135"/>
    <mergeCell ref="A91:B91"/>
    <mergeCell ref="K138:L138"/>
    <mergeCell ref="A118:J118"/>
    <mergeCell ref="F135:G135"/>
    <mergeCell ref="F124:L126"/>
    <mergeCell ref="A122:J122"/>
    <mergeCell ref="C128:E128"/>
    <mergeCell ref="F128:H128"/>
    <mergeCell ref="F110:G111"/>
    <mergeCell ref="A132:E132"/>
    <mergeCell ref="K110:L111"/>
    <mergeCell ref="I131:J131"/>
    <mergeCell ref="H135:J135"/>
    <mergeCell ref="K135:L135"/>
    <mergeCell ref="F104:G104"/>
    <mergeCell ref="K104:L104"/>
    <mergeCell ref="J116:J117"/>
    <mergeCell ref="F112:G113"/>
    <mergeCell ref="I2:K2"/>
    <mergeCell ref="F108:G109"/>
    <mergeCell ref="A87:L87"/>
    <mergeCell ref="J90:K90"/>
    <mergeCell ref="A94:B94"/>
    <mergeCell ref="G10:I10"/>
    <mergeCell ref="A11:E11"/>
    <mergeCell ref="A99:J99"/>
    <mergeCell ref="A102:B106"/>
    <mergeCell ref="D83:E83"/>
    <mergeCell ref="F102:G102"/>
    <mergeCell ref="A107:B107"/>
    <mergeCell ref="C107:D107"/>
    <mergeCell ref="C94:G94"/>
    <mergeCell ref="A96:B96"/>
    <mergeCell ref="A100:L100"/>
    <mergeCell ref="A101:J101"/>
    <mergeCell ref="A12:B12"/>
    <mergeCell ref="C12:L12"/>
    <mergeCell ref="D15:E15"/>
    <mergeCell ref="D84:E84"/>
    <mergeCell ref="A97:B98"/>
    <mergeCell ref="C97:G97"/>
    <mergeCell ref="H97:I97"/>
    <mergeCell ref="C95:G96"/>
    <mergeCell ref="J95:J96"/>
    <mergeCell ref="A58:B58"/>
    <mergeCell ref="A54:L54"/>
    <mergeCell ref="A55:B55"/>
    <mergeCell ref="A56:B57"/>
    <mergeCell ref="H56:I57"/>
    <mergeCell ref="A8:B8"/>
    <mergeCell ref="J51:K51"/>
    <mergeCell ref="C51:I51"/>
    <mergeCell ref="C55:G55"/>
    <mergeCell ref="C9:L9"/>
    <mergeCell ref="G48:H48"/>
    <mergeCell ref="J50:K50"/>
    <mergeCell ref="A47:L47"/>
    <mergeCell ref="A51:B51"/>
    <mergeCell ref="A13:C13"/>
    <mergeCell ref="H62:I62"/>
    <mergeCell ref="I83:L83"/>
    <mergeCell ref="C91:I91"/>
    <mergeCell ref="A65:E65"/>
    <mergeCell ref="I82:L82"/>
    <mergeCell ref="A66:B66"/>
    <mergeCell ref="C73:G74"/>
    <mergeCell ref="A1:L1"/>
    <mergeCell ref="G2:H2"/>
    <mergeCell ref="A6:E6"/>
    <mergeCell ref="G15:L17"/>
    <mergeCell ref="C34:L35"/>
    <mergeCell ref="L56:L57"/>
    <mergeCell ref="H69:I69"/>
    <mergeCell ref="J62:K62"/>
    <mergeCell ref="A39:C39"/>
    <mergeCell ref="J66:L66"/>
    <mergeCell ref="C57:G57"/>
    <mergeCell ref="K39:L39"/>
    <mergeCell ref="A53:L53"/>
    <mergeCell ref="C59:G59"/>
    <mergeCell ref="J59:K59"/>
    <mergeCell ref="H59:I59"/>
    <mergeCell ref="C58:G58"/>
    <mergeCell ref="J55:K55"/>
    <mergeCell ref="H58:I58"/>
    <mergeCell ref="J56:K57"/>
    <mergeCell ref="J58:K58"/>
    <mergeCell ref="C56:G56"/>
    <mergeCell ref="A59:B59"/>
    <mergeCell ref="F65:I65"/>
    <mergeCell ref="H63:I63"/>
    <mergeCell ref="C63:G63"/>
    <mergeCell ref="F66:G66"/>
    <mergeCell ref="H71:H72"/>
    <mergeCell ref="J67:K74"/>
    <mergeCell ref="A79:E79"/>
    <mergeCell ref="G88:H88"/>
    <mergeCell ref="C102:E106"/>
    <mergeCell ref="J91:K91"/>
    <mergeCell ref="H94:I94"/>
    <mergeCell ref="F81:L81"/>
    <mergeCell ref="J94:K94"/>
    <mergeCell ref="K99:L99"/>
    <mergeCell ref="H84:I84"/>
    <mergeCell ref="A92:L92"/>
    <mergeCell ref="J75:K75"/>
    <mergeCell ref="L67:L72"/>
    <mergeCell ref="F103:G103"/>
    <mergeCell ref="L73:L74"/>
    <mergeCell ref="H98:I98"/>
    <mergeCell ref="K103:L103"/>
    <mergeCell ref="I102:J102"/>
    <mergeCell ref="I103:J103"/>
    <mergeCell ref="H95:I96"/>
    <mergeCell ref="A108:B109"/>
    <mergeCell ref="F107:G107"/>
    <mergeCell ref="C111:D111"/>
    <mergeCell ref="E110:E111"/>
    <mergeCell ref="K116:L117"/>
    <mergeCell ref="C117:D117"/>
    <mergeCell ref="C108:D108"/>
    <mergeCell ref="I112:J113"/>
    <mergeCell ref="H110:H111"/>
    <mergeCell ref="A116:B117"/>
    <mergeCell ref="H108:H109"/>
    <mergeCell ref="I108:I109"/>
    <mergeCell ref="C109:D109"/>
    <mergeCell ref="A110:B111"/>
    <mergeCell ref="E116:E117"/>
    <mergeCell ref="F116:G117"/>
    <mergeCell ref="A112:B113"/>
    <mergeCell ref="H116:H117"/>
    <mergeCell ref="C114:E115"/>
    <mergeCell ref="F114:G115"/>
    <mergeCell ref="A114:B115"/>
    <mergeCell ref="A34:B35"/>
    <mergeCell ref="H61:I61"/>
    <mergeCell ref="I116:I117"/>
    <mergeCell ref="E112:E113"/>
    <mergeCell ref="C33:L33"/>
    <mergeCell ref="A77:B77"/>
    <mergeCell ref="C77:G77"/>
    <mergeCell ref="H77:I77"/>
    <mergeCell ref="D38:H38"/>
    <mergeCell ref="J38:K38"/>
    <mergeCell ref="C113:D113"/>
    <mergeCell ref="I114:J115"/>
    <mergeCell ref="K114:L115"/>
    <mergeCell ref="J77:K77"/>
    <mergeCell ref="A72:B72"/>
    <mergeCell ref="I110:I111"/>
    <mergeCell ref="H112:H113"/>
    <mergeCell ref="E108:E109"/>
    <mergeCell ref="J108:J109"/>
    <mergeCell ref="F106:G106"/>
    <mergeCell ref="K112:L113"/>
    <mergeCell ref="A93:L93"/>
    <mergeCell ref="K108:L109"/>
    <mergeCell ref="J110:J111"/>
  </mergeCells>
  <dataValidations count="28">
    <dataValidation type="list" allowBlank="1" showInputMessage="1" showErrorMessage="1" sqref="K116:L117 J56:K59 J61:K63 K110:L111 J75:J77 K75:K76" xr:uid="{00000000-0002-0000-0000-000000000000}">
      <formula1>$M$27:$M$31</formula1>
    </dataValidation>
    <dataValidation type="list" allowBlank="1" showInputMessage="1" showErrorMessage="1" sqref="I132:J132" xr:uid="{00000000-0002-0000-0000-000001000000}">
      <formula1>"מתאים, לא מתאים, לא רלוונטי, לא נבדק"</formula1>
    </dataValidation>
    <dataValidation type="list" allowBlank="1" showInputMessage="1" showErrorMessage="1" sqref="J66:L66" xr:uid="{00000000-0002-0000-0000-000003000000}">
      <formula1>"מחוסמת, אינה מחוסמת, לא הוצגו נתונים, -"</formula1>
    </dataValidation>
    <dataValidation type="list" allowBlank="1" showInputMessage="1" showErrorMessage="1" sqref="H69:I69" xr:uid="{00000000-0002-0000-0000-000004000000}">
      <formula1>"כינוי: רבודה מחוסמת, כינוי: רבודה לא מחוסמת,כינוי: לא רבודה,-"</formula1>
    </dataValidation>
    <dataValidation type="list" allowBlank="1" showInputMessage="1" showErrorMessage="1" sqref="A107:B107" xr:uid="{00000000-0002-0000-0000-000005000000}">
      <formula1>"  10.3.4 א, 10.3.5 א"</formula1>
    </dataValidation>
    <dataValidation type="list" allowBlank="1" showInputMessage="1" showErrorMessage="1" sqref="A108" xr:uid="{00000000-0002-0000-0000-000006000000}">
      <formula1>"10.3.4 ב, 10.3.5 ב"</formula1>
    </dataValidation>
    <dataValidation type="list" allowBlank="1" showInputMessage="1" showErrorMessage="1" sqref="H73:I73" xr:uid="{00000000-0002-0000-0000-000007000000}">
      <formula1>"שמשה אחוזה בכל  צידיה,  שמשה אחוזה בשלושה  צדדים ,  שמשה אחוזה בשני צדדים , השמשה אחוזה בצידה התחתון בלבד ,-"</formula1>
    </dataValidation>
    <dataValidation type="list" allowBlank="1" showInputMessage="1" showErrorMessage="1" sqref="H74:I74" xr:uid="{00000000-0002-0000-0000-000008000000}">
      <formula1>"אחיזה רציפה, אחיזה לא רציפה, אחיזה רציפה ולא רציפה,-"</formula1>
    </dataValidation>
    <dataValidation type="list" allowBlank="1" showInputMessage="1" showErrorMessage="1" sqref="L73:L74" xr:uid="{00000000-0002-0000-0000-000009000000}">
      <formula1>"יש לצרף חישוב חוזק הנדסי בכפוף לסיעיף 4.2.2  בתקן ת""י 1099 חלק 1.1"</formula1>
    </dataValidation>
    <dataValidation type="list" allowBlank="1" showInputMessage="1" showErrorMessage="1" sqref="I68" xr:uid="{00000000-0002-0000-0000-00000A000000}">
      <formula1>"קיים, לא קיים, סימון הוסר,-"</formula1>
    </dataValidation>
    <dataValidation type="list" allowBlank="1" showInputMessage="1" showErrorMessage="1" sqref="J67" xr:uid="{00000000-0002-0000-0000-00000B000000}">
      <formula1>"מתאים, לא מתאים, לא רלוונטי, לא נבדק, לא ניתן לתת מסקנה"</formula1>
    </dataValidation>
    <dataValidation type="list" allowBlank="1" showInputMessage="1" showErrorMessage="1" sqref="H97:I97 C109:D109" xr:uid="{00000000-0002-0000-0000-00000C000000}">
      <formula1>"2Pn=2×0.375Fser × L1,  2Pn=2×0.5Fser × L"</formula1>
    </dataValidation>
    <dataValidation type="list" allowBlank="1" showInputMessage="1" showErrorMessage="1" sqref="H98:I98" xr:uid="{00000000-0002-0000-0000-00000D000000}">
      <formula1>"L1,L"</formula1>
    </dataValidation>
    <dataValidation type="list" allowBlank="1" showInputMessage="1" showErrorMessage="1" sqref="H95:I96" xr:uid="{00000000-0002-0000-0000-00000E000000}">
      <formula1>" עומס רוח על אזן עליון או על שפה העליונה, עומס אופקי לפי טבלה 1 , עומס משולב(שימושי+מחצית עומס רוח) על אזן עליון או שפה עליונה = Fser"</formula1>
    </dataValidation>
    <dataValidation type="list" allowBlank="1" showInputMessage="1" showErrorMessage="1" sqref="K136:K138 F29:F30 E28:E31" xr:uid="{00000000-0002-0000-0000-00000F000000}">
      <formula1>"מתאים, לא מתאים, לא רלוונטי, לא נדרש, לא נבדק"</formula1>
    </dataValidation>
    <dataValidation type="list" allowBlank="1" showInputMessage="1" showErrorMessage="1" sqref="J139:K139" xr:uid="{00000000-0002-0000-0000-000010000000}">
      <formula1>"מתאים, לא מתאים, לא נבדק, לא רלוונטי,לא נדרש"</formula1>
    </dataValidation>
    <dataValidation type="list" allowBlank="1" showInputMessage="1" showErrorMessage="1" sqref="H59:I59" xr:uid="{00000000-0002-0000-0000-000011000000}">
      <formula1>"יותר מ-10 ס""מ, פחות מ-10 ס""מ, -"</formula1>
    </dataValidation>
    <dataValidation type="list" allowBlank="1" showInputMessage="1" showErrorMessage="1" sqref="H75:I75" xr:uid="{00000000-0002-0000-0000-000012000000}">
      <formula1>"יותר מ-12 מ""מ,פחות מ-12 מ""מ,-"</formula1>
    </dataValidation>
    <dataValidation type="list" allowBlank="1" showInputMessage="1" showErrorMessage="1" sqref="H76:I76" xr:uid="{00000000-0002-0000-0000-000013000000}">
      <formula1>"חסר גומי,גומי צורתי,חומר אלסטומרי,-,גומי וחומר אלסטומרי"</formula1>
    </dataValidation>
    <dataValidation type="list" allowBlank="1" showInputMessage="1" showErrorMessage="1" sqref="C17" xr:uid="{00000000-0002-0000-0000-000014000000}">
      <formula1>"הוגש, לא הוגש, לא נדרש"</formula1>
    </dataValidation>
    <dataValidation type="list" allowBlank="1" showInputMessage="1" showErrorMessage="1" sqref="C15:C16" xr:uid="{00000000-0002-0000-0000-000015000000}">
      <formula1>"הוגש, לא הוגש"</formula1>
    </dataValidation>
    <dataValidation type="list" allowBlank="1" showInputMessage="1" showErrorMessage="1" sqref="C20:F20" xr:uid="{00000000-0002-0000-0000-000016000000}">
      <formula1>"בדיקה חזותית ובדיקה גיאומטרית, בדיקה חזותית ובדיקה גיאומטרית כולל בדיקת העמסה "</formula1>
    </dataValidation>
    <dataValidation type="list" allowBlank="1" showInputMessage="1" showErrorMessage="1" sqref="D10" xr:uid="{00000000-0002-0000-0000-000017000000}">
      <formula1>"ראשונה, חוזרת בהמשך לתעודה מס' , נוספת בהמשך לתעודה מס' "</formula1>
    </dataValidation>
    <dataValidation type="list" allowBlank="1" showInputMessage="1" showErrorMessage="1" sqref="F79" xr:uid="{00000000-0002-0000-0000-000019000000}">
      <formula1>"לא נדרש, עומס רוח נקבע בהתאם לקומה, עומס רוח נקבע בהתאם לחישוב הנדסי  "</formula1>
    </dataValidation>
    <dataValidation type="list" allowBlank="1" showInputMessage="1" showErrorMessage="1" sqref="I70" xr:uid="{00000000-0002-0000-0000-00001A000000}">
      <formula1>"לא ידוע,A,-"</formula1>
    </dataValidation>
    <dataValidation type="list" allowBlank="1" showInputMessage="1" showErrorMessage="1" sqref="K107:L109" xr:uid="{00000000-0002-0000-0000-00001B000000}">
      <formula1>"מתאים, לא מתאים, לא רלוונטי, לא נבדק, XXXXXXX"</formula1>
    </dataValidation>
    <dataValidation type="list" allowBlank="1" showInputMessage="1" showErrorMessage="1" sqref="K114:L115" xr:uid="{00000000-0002-0000-0000-00001C000000}">
      <formula1>"מתאים, לא מתאים, לא נבדק, לא רלוונטי, XXXXXX"</formula1>
    </dataValidation>
    <dataValidation type="list" allowBlank="1" showInputMessage="1" showErrorMessage="1" sqref="D38:H38" xr:uid="{23FB06C5-7D2F-4756-8AA0-90DCBA30ABEA}">
      <formula1>"סרגיי אוסקרקו,אנדריי ריז'יק,אמיר אהרון"</formula1>
    </dataValidation>
  </dataValidations>
  <pageMargins left="0.62992125984251968" right="0.86614173228346458" top="0.15748031496062992" bottom="0.78740157480314965" header="0.31496062992125984" footer="0"/>
  <pageSetup scale="68" fitToHeight="3" orientation="portrait" r:id="rId1"/>
  <headerFooter>
    <oddHeader>&amp;L&amp;G&amp;R&amp;G</oddHeader>
    <oddFooter>&amp;Lטופס מס' 511.01-01
&amp;C&amp;G</oddFooter>
  </headerFooter>
  <rowBreaks count="2" manualBreakCount="2">
    <brk id="44" max="16383" man="1"/>
    <brk id="86" max="11" man="1"/>
  </rowBreaks>
  <colBreaks count="1" manualBreakCount="1">
    <brk id="12" max="129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3.8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94D6A8744C3EC94BA7F4448D149DC8A9" ma:contentTypeVersion="16" ma:contentTypeDescription="צור מסמך חדש." ma:contentTypeScope="" ma:versionID="cc158a8a633a906264fd36bde671a98c">
  <xsd:schema xmlns:xsd="http://www.w3.org/2001/XMLSchema" xmlns:xs="http://www.w3.org/2001/XMLSchema" xmlns:p="http://schemas.microsoft.com/office/2006/metadata/properties" xmlns:ns2="197ef56d-3d36-4ec2-b1fd-5d281eb1ac2f" xmlns:ns3="567ebf37-d436-4773-b3a3-1fb46c6dccec" targetNamespace="http://schemas.microsoft.com/office/2006/metadata/properties" ma:root="true" ma:fieldsID="7cfdf81620960163c1229a8eda46b4fa" ns2:_="" ns3:_="">
    <xsd:import namespace="197ef56d-3d36-4ec2-b1fd-5d281eb1ac2f"/>
    <xsd:import namespace="567ebf37-d436-4773-b3a3-1fb46c6dcc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ef56d-3d36-4ec2-b1fd-5d281eb1ac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384f22d8-4e77-4338-af8d-d4f7bd29f8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ebf37-d436-4773-b3a3-1fb46c6dcc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משותף עם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משותף עם פרטים" ma:hidden="true" ma:internalName="SharedWithDetails" ma:readOnly="true">
      <xsd:simpleType>
        <xsd:restriction base="dms:Note"/>
      </xsd:simpleType>
    </xsd:element>
    <xsd:element name="TaxCatchAll" ma:index="14" nillable="true" ma:displayName="Taxonomy Catch All Column" ma:hidden="true" ma:list="{08f968ce-eaeb-4220-8704-e242344accb7}" ma:internalName="TaxCatchAll" ma:readOnly="false" ma:showField="CatchAllData" ma:web="567ebf37-d436-4773-b3a3-1fb46c6dcc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סוג תוכן"/>
        <xsd:element ref="dc:title" minOccurs="0" maxOccurs="1" ma:index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7ebf37-d436-4773-b3a3-1fb46c6dccec"/>
    <lcf76f155ced4ddcb4097134ff3c332f xmlns="197ef56d-3d36-4ec2-b1fd-5d281eb1ac2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0429C69E-8B08-4E2C-B7BE-6045030C0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ef56d-3d36-4ec2-b1fd-5d281eb1ac2f"/>
    <ds:schemaRef ds:uri="567ebf37-d436-4773-b3a3-1fb46c6dcc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CAD7CF-8665-428C-BF28-3D3AE13DCDF8}">
  <ds:schemaRefs>
    <ds:schemaRef ds:uri="http://schemas.microsoft.com/office/2006/metadata/properties"/>
    <ds:schemaRef ds:uri="http://schemas.microsoft.com/office/infopath/2007/PartnerControls"/>
    <ds:schemaRef ds:uri="567ebf37-d436-4773-b3a3-1fb46c6dccec"/>
    <ds:schemaRef ds:uri="197ef56d-3d36-4ec2-b1fd-5d281eb1ac2f"/>
  </ds:schemaRefs>
</ds:datastoreItem>
</file>

<file path=customXml/itemProps3.xml><?xml version="1.0" encoding="utf-8"?>
<ds:datastoreItem xmlns:ds="http://schemas.openxmlformats.org/officeDocument/2006/customXml" ds:itemID="{0187F8AC-5774-4BAF-9311-F22BE6E1B0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B2744CA-1D1A-4A5C-B2B2-A5A6AE761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הדפסה</vt:lpstr>
      <vt:lpstr>גיליון1</vt:lpstr>
      <vt:lpstr>הדפסה!Print_Area</vt:lpstr>
      <vt:lpstr>לאניתן</vt:lpstr>
      <vt:lpstr>מסקנה</vt:lpstr>
      <vt:lpstr>מתאים</vt:lpstr>
      <vt:lpstr>נתגלו</vt:lpstr>
      <vt:lpstr>סוג_בדיקה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אמיר אהרון</cp:lastModifiedBy>
  <cp:lastPrinted>2024-07-14T15:02:24Z</cp:lastPrinted>
  <dcterms:created xsi:type="dcterms:W3CDTF">2013-08-27T04:56:47Z</dcterms:created>
  <dcterms:modified xsi:type="dcterms:W3CDTF">2026-01-14T12:55:53Z</dcterms:modified>
</cp:coreProperties>
</file>